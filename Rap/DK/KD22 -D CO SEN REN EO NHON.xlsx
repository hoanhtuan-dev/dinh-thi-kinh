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hiếu Cấp hàng" sheetId="1" state="visible" r:id="rId3"/>
    <sheet name="thông số" sheetId="2" state="visible" r:id="rId4"/>
    <sheet name="TAC NGHIEP CA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huy:
</t>
        </r>
      </text>
    </comment>
  </commentList>
</comments>
</file>

<file path=xl/sharedStrings.xml><?xml version="1.0" encoding="utf-8"?>
<sst xmlns="http://schemas.openxmlformats.org/spreadsheetml/2006/main" count="185" uniqueCount="86">
  <si>
    <t xml:space="preserve">CTY : DAK STUDIO</t>
  </si>
  <si>
    <t xml:space="preserve">MÃ HÀNG  /8/24</t>
  </si>
  <si>
    <t xml:space="preserve">PHIẾU CẤP HÀNG &amp; PL</t>
  </si>
  <si>
    <t xml:space="preserve">ĐƠN VỊ GIA CÔNG : XƯỞNG</t>
  </si>
  <si>
    <t xml:space="preserve"> ** CẮT XONG  : 30/8</t>
  </si>
  <si>
    <t xml:space="preserve">SỐ BÀN CẮT :2 BÀN </t>
  </si>
  <si>
    <t xml:space="preserve">** ĐỊNH MỨC VÀ GIÁ VẢI  </t>
  </si>
  <si>
    <t xml:space="preserve">CHÍNH </t>
  </si>
  <si>
    <t xml:space="preserve">KEO</t>
  </si>
  <si>
    <t xml:space="preserve">0.76M X 45k</t>
  </si>
  <si>
    <t xml:space="preserve">0.11M</t>
  </si>
  <si>
    <t xml:space="preserve">SỐ LƯỢNG HÀNG &amp; PHỤ LIỆU</t>
  </si>
  <si>
    <t xml:space="preserve">SIZE</t>
  </si>
  <si>
    <t xml:space="preserve">MÃ HÀNG  : KD22-  ĐẦM RIB IN LABU</t>
  </si>
  <si>
    <t xml:space="preserve">TỔNG  :20RI X 7 = 140Đ</t>
  </si>
  <si>
    <t xml:space="preserve">** TRĂNG PHỐI REN TRẮNG  ( như mẫu) </t>
  </si>
  <si>
    <t xml:space="preserve">CẤP PL : </t>
  </si>
  <si>
    <t xml:space="preserve">1) CẤP NHÃN SIZE THEO SỐ LƯỢNG +%</t>
  </si>
  <si>
    <t xml:space="preserve">2) DÂY KÉO GIỌT TRẮNG – 150 SỢI </t>
  </si>
  <si>
    <t xml:space="preserve">3) REN VẢI RUA BẢN 2CM : 460M</t>
  </si>
  <si>
    <t xml:space="preserve">NGÀY GIAO :                    /                       /2024</t>
  </si>
  <si>
    <t xml:space="preserve">GIA CÔNG KÝ NHẬN</t>
  </si>
  <si>
    <t xml:space="preserve">KD22 - ĐẦM CỔ SEN REN EO TAM GIÁC</t>
  </si>
  <si>
    <t xml:space="preserve">THÔNG SỐ THÀNH PHẨM SAU ỦI</t>
  </si>
  <si>
    <t xml:space="preserve">SIZE CHÍNH</t>
  </si>
  <si>
    <t xml:space="preserve">Dài Đầm ( Đo thẳng từ gốc cổ  xuống lai)</t>
  </si>
  <si>
    <t xml:space="preserve">Rộng Ngực  ( 1/2) – Đo ngang êm </t>
  </si>
  <si>
    <t xml:space="preserve">Rộng Eo  1/2 - Đo ngang êm</t>
  </si>
  <si>
    <t xml:space="preserve">Dài Dây Nơ (TP) </t>
  </si>
  <si>
    <t xml:space="preserve">Thun Tay 7ly – Rộng (TP ) Cả vòng </t>
  </si>
  <si>
    <t xml:space="preserve">Eo Tùng TT Rút Nhún     1/2 (TP)</t>
  </si>
  <si>
    <r>
      <rPr>
        <sz val="12"/>
        <color theme="1"/>
        <rFont val="Times New Roman"/>
        <family val="1"/>
        <charset val="1"/>
      </rPr>
      <t xml:space="preserve">Eo Tùng TS Rút Nhún    </t>
    </r>
    <r>
      <rPr>
        <sz val="12"/>
        <color theme="1"/>
        <rFont val="Times New Roman"/>
        <family val="1"/>
      </rPr>
      <t xml:space="preserve"> 1/2</t>
    </r>
    <r>
      <rPr>
        <sz val="12"/>
        <color theme="1"/>
        <rFont val="Times New Roman"/>
        <family val="1"/>
        <charset val="1"/>
      </rPr>
      <t xml:space="preserve"> (TP)</t>
    </r>
  </si>
  <si>
    <t xml:space="preserve">** VẢI CHÍNH KHỔ  1.44 M  =  5.32M / 7  =  0.76M</t>
  </si>
  <si>
    <t xml:space="preserve">** KEO  KHỔ              1.15 M  =  0.75M / 7  =  0.11M</t>
  </si>
  <si>
    <t xml:space="preserve">SỐ LƯỢNG HÀNG SẢN XUẤT</t>
  </si>
  <si>
    <t xml:space="preserve">VẢI MẪU</t>
  </si>
  <si>
    <t xml:space="preserve">1. COTTONG THÔ ( KAKI BÓNG)   - 20Lớp </t>
  </si>
  <si>
    <t xml:space="preserve">TÂN PHƯỚC  :  36 M + 170M  -  107M</t>
  </si>
  <si>
    <t xml:space="preserve">2. KEO                                                  - 20Lớp </t>
  </si>
  <si>
    <t xml:space="preserve">NGÀY LẬP : /06/2024</t>
  </si>
  <si>
    <t xml:space="preserve">LOẠI VẢI </t>
  </si>
  <si>
    <t xml:space="preserve">MÀU VẢI </t>
  </si>
  <si>
    <t xml:space="preserve">NHÀ CUNG CẤP </t>
  </si>
  <si>
    <t xml:space="preserve">KHỔ VÁI
 đã - biên</t>
  </si>
  <si>
    <t xml:space="preserve">GIÁ TIỀN </t>
  </si>
  <si>
    <t xml:space="preserve">1kg=  m</t>
  </si>
  <si>
    <t xml:space="preserve">SỐ M PHỎNG</t>
  </si>
  <si>
    <t xml:space="preserve">QUY ĐỔI THÀNG KG</t>
  </si>
  <si>
    <t xml:space="preserve">MÃ HÀNG</t>
  </si>
  <si>
    <t xml:space="preserve">DR01</t>
  </si>
  <si>
    <t xml:space="preserve">LINEN </t>
  </si>
  <si>
    <t xml:space="preserve">CARO ĐỎ </t>
  </si>
  <si>
    <t xml:space="preserve">4XL</t>
  </si>
  <si>
    <t xml:space="preserve">5XL</t>
  </si>
  <si>
    <t xml:space="preserve">7XL</t>
  </si>
  <si>
    <t xml:space="preserve">S</t>
  </si>
  <si>
    <t xml:space="preserve">M</t>
  </si>
  <si>
    <t xml:space="preserve">L</t>
  </si>
  <si>
    <t xml:space="preserve">XL</t>
  </si>
  <si>
    <t xml:space="preserve">2XL</t>
  </si>
  <si>
    <t xml:space="preserve">3XL</t>
  </si>
  <si>
    <t xml:space="preserve">TỔNG</t>
  </si>
  <si>
    <t xml:space="preserve">LÓT </t>
  </si>
  <si>
    <t xml:space="preserve">ĐỎ </t>
  </si>
  <si>
    <t xml:space="preserve">CHÍNH</t>
  </si>
  <si>
    <t xml:space="preserve">MẪ HẦNG</t>
  </si>
  <si>
    <t xml:space="preserve">Định mức</t>
  </si>
  <si>
    <t xml:space="preserve">met 3%</t>
  </si>
  <si>
    <t xml:space="preserve">yd 3%</t>
  </si>
  <si>
    <t xml:space="preserve">SỐ BÀN</t>
  </si>
  <si>
    <t xml:space="preserve">S/P</t>
  </si>
  <si>
    <t xml:space="preserve">Khổ</t>
  </si>
  <si>
    <t xml:space="preserve">Dai</t>
  </si>
  <si>
    <t xml:space="preserve">số BTP </t>
  </si>
  <si>
    <t xml:space="preserve">T/Hao</t>
  </si>
  <si>
    <t xml:space="preserve">ch</t>
  </si>
  <si>
    <t xml:space="preserve">met</t>
  </si>
  <si>
    <t xml:space="preserve">4cm</t>
  </si>
  <si>
    <t xml:space="preserve">SỐ LỚP</t>
  </si>
  <si>
    <t xml:space="preserve"> ĐỊNH MỨC CẮT CHUNG</t>
  </si>
  <si>
    <t xml:space="preserve">LÓT</t>
  </si>
  <si>
    <t xml:space="preserve">ĐỎ</t>
  </si>
  <si>
    <t xml:space="preserve">NAM</t>
  </si>
  <si>
    <t xml:space="preserve">KEO GIẤY</t>
  </si>
  <si>
    <t xml:space="preserve">KEO CHÂN CỔ </t>
  </si>
  <si>
    <t xml:space="preserve">KEO GIẤY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</si>
</sst>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&quot; ₫&quot;_-;\-* #,##0.00&quot; ₫&quot;_-;_-* \-??&quot; ₫&quot;_-;_-@_-"/>
    <numFmt numFmtId="166" formatCode="mmm\-yy"/>
    <numFmt numFmtId="167" formatCode="0.0000"/>
    <numFmt numFmtId="168" formatCode="0.000"/>
    <numFmt numFmtId="169" formatCode="0"/>
    <numFmt numFmtId="170" formatCode="0.00"/>
    <numFmt numFmtId="171" formatCode="0.0"/>
    <numFmt numFmtId="172" formatCode="General"/>
    <numFmt numFmtId="173" formatCode="0%"/>
  </numFmts>
  <fonts count="36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6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theme="1"/>
      <name val="Times New Roman"/>
      <family val="1"/>
    </font>
    <font>
      <b val="true"/>
      <u val="single"/>
      <sz val="12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rgb="FF0070C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b val="true"/>
      <sz val="12"/>
      <color rgb="FF0070C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0070C0"/>
      <name val="Times New Roman"/>
      <family val="1"/>
      <charset val="1"/>
    </font>
    <font>
      <sz val="9"/>
      <color rgb="FF0070C0"/>
      <name val="Times New Roman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theme="0"/>
        <bgColor rgb="FFFDEADA"/>
      </patternFill>
    </fill>
    <fill>
      <patternFill patternType="solid">
        <fgColor theme="9" tint="0.5999"/>
        <bgColor rgb="FFDDD9C3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theme="0" tint="-0.15"/>
        <bgColor rgb="FFDDD9C3"/>
      </patternFill>
    </fill>
    <fill>
      <patternFill patternType="solid">
        <fgColor theme="8" tint="0.7999"/>
        <bgColor rgb="FFCCFFFF"/>
      </patternFill>
    </fill>
    <fill>
      <patternFill patternType="solid">
        <fgColor theme="9" tint="0.7999"/>
        <bgColor rgb="FFFCD5B5"/>
      </patternFill>
    </fill>
    <fill>
      <patternFill patternType="solid">
        <fgColor theme="2" tint="-0.1"/>
        <bgColor rgb="FFD9D9D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9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4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8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8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ADA"/>
      <rgbColor rgb="FFDBEEF4"/>
      <rgbColor rgb="FF660066"/>
      <rgbColor rgb="FFFF8080"/>
      <rgbColor rgb="FF0070C0"/>
      <rgbColor rgb="FFD9D9D9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92520</xdr:colOff>
      <xdr:row>1</xdr:row>
      <xdr:rowOff>23400</xdr:rowOff>
    </xdr:from>
    <xdr:to>
      <xdr:col>7</xdr:col>
      <xdr:colOff>396000</xdr:colOff>
      <xdr:row>3</xdr:row>
      <xdr:rowOff>487080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7723440" y="404280"/>
          <a:ext cx="971280" cy="147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78840</xdr:colOff>
      <xdr:row>0</xdr:row>
      <xdr:rowOff>33840</xdr:rowOff>
    </xdr:from>
    <xdr:to>
      <xdr:col>4</xdr:col>
      <xdr:colOff>39240</xdr:colOff>
      <xdr:row>0</xdr:row>
      <xdr:rowOff>1770840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787920" y="33840"/>
          <a:ext cx="1103400" cy="1737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55</xdr:col>
      <xdr:colOff>0</xdr:colOff>
      <xdr:row>18</xdr:row>
      <xdr:rowOff>0</xdr:rowOff>
    </xdr:from>
    <xdr:to>
      <xdr:col>55</xdr:col>
      <xdr:colOff>304560</xdr:colOff>
      <xdr:row>19</xdr:row>
      <xdr:rowOff>129240</xdr:rowOff>
    </xdr:to>
    <xdr:sp>
      <xdr:nvSpPr>
        <xdr:cNvPr id="2" name="AutoShape 1"/>
        <xdr:cNvSpPr/>
      </xdr:nvSpPr>
      <xdr:spPr>
        <a:xfrm>
          <a:off x="13335120" y="4114800"/>
          <a:ext cx="304560" cy="310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5" colorId="64" zoomScale="130" zoomScaleNormal="130" zoomScalePageLayoutView="100" workbookViewId="0">
      <selection pane="topLeft" activeCell="A24" activeCellId="0" sqref="A24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57.5"/>
    <col collapsed="false" customWidth="true" hidden="false" outlineLevel="0" max="4" min="2" style="1" width="8.62"/>
    <col collapsed="false" customWidth="true" hidden="false" outlineLevel="0" max="5" min="5" style="1" width="7.38"/>
    <col collapsed="false" customWidth="true" hidden="false" outlineLevel="0" max="6" min="6" style="1" width="7.76"/>
    <col collapsed="false" customWidth="true" hidden="false" outlineLevel="0" max="7" min="7" style="1" width="8.62"/>
    <col collapsed="false" customWidth="true" hidden="false" outlineLevel="0" max="8" min="8" style="1" width="8.5"/>
    <col collapsed="false" customWidth="true" hidden="true" outlineLevel="0" max="9" min="9" style="1" width="8.62"/>
    <col collapsed="false" customWidth="false" hidden="false" outlineLevel="0" max="16384" min="10" style="1" width="8.88"/>
  </cols>
  <sheetData>
    <row r="1" customFormat="false" ht="30" hidden="false" customHeight="true" outlineLevel="0" collapsed="false">
      <c r="A1" s="2" t="s">
        <v>0</v>
      </c>
      <c r="B1" s="3"/>
      <c r="C1" s="3"/>
      <c r="D1" s="3"/>
      <c r="E1" s="4"/>
      <c r="F1" s="4"/>
      <c r="G1" s="5" t="s">
        <v>1</v>
      </c>
      <c r="H1" s="5"/>
      <c r="I1" s="5"/>
    </row>
    <row r="2" customFormat="false" ht="39.75" hidden="false" customHeight="true" outlineLevel="0" collapsed="false">
      <c r="A2" s="6" t="s">
        <v>2</v>
      </c>
      <c r="B2" s="6"/>
      <c r="C2" s="6"/>
      <c r="D2" s="6"/>
      <c r="E2" s="6"/>
      <c r="F2" s="6"/>
      <c r="G2" s="7"/>
      <c r="H2" s="7"/>
      <c r="I2" s="7"/>
    </row>
    <row r="3" customFormat="false" ht="39.75" hidden="false" customHeight="true" outlineLevel="0" collapsed="false">
      <c r="A3" s="8" t="s">
        <v>3</v>
      </c>
      <c r="B3" s="9"/>
      <c r="C3" s="9"/>
      <c r="D3" s="9"/>
      <c r="E3" s="9"/>
      <c r="F3" s="9"/>
      <c r="G3" s="7"/>
      <c r="H3" s="7"/>
      <c r="I3" s="7"/>
    </row>
    <row r="4" customFormat="false" ht="39.75" hidden="false" customHeight="true" outlineLevel="0" collapsed="false">
      <c r="A4" s="10" t="s">
        <v>4</v>
      </c>
      <c r="B4" s="11" t="s">
        <v>5</v>
      </c>
      <c r="C4" s="11"/>
      <c r="D4" s="11"/>
      <c r="E4" s="11"/>
      <c r="F4" s="11"/>
      <c r="G4" s="7"/>
      <c r="H4" s="7"/>
      <c r="I4" s="7"/>
    </row>
    <row r="5" customFormat="false" ht="24.75" hidden="false" customHeight="true" outlineLevel="0" collapsed="false">
      <c r="A5" s="12" t="s">
        <v>6</v>
      </c>
      <c r="B5" s="13" t="s">
        <v>7</v>
      </c>
      <c r="C5" s="13"/>
      <c r="D5" s="13"/>
      <c r="E5" s="14" t="s">
        <v>8</v>
      </c>
      <c r="F5" s="14"/>
      <c r="G5" s="14"/>
      <c r="H5" s="15"/>
      <c r="I5" s="16"/>
    </row>
    <row r="6" customFormat="false" ht="35.25" hidden="false" customHeight="true" outlineLevel="0" collapsed="false">
      <c r="A6" s="17"/>
      <c r="B6" s="18" t="s">
        <v>9</v>
      </c>
      <c r="C6" s="18"/>
      <c r="D6" s="18"/>
      <c r="E6" s="14" t="s">
        <v>10</v>
      </c>
      <c r="F6" s="14"/>
      <c r="G6" s="14"/>
      <c r="H6" s="19"/>
      <c r="I6" s="20"/>
    </row>
    <row r="7" customFormat="false" ht="24.75" hidden="false" customHeight="true" outlineLevel="0" collapsed="false">
      <c r="A7" s="21" t="s">
        <v>11</v>
      </c>
      <c r="B7" s="22"/>
      <c r="C7" s="22"/>
      <c r="D7" s="22"/>
      <c r="E7" s="22"/>
      <c r="F7" s="23" t="s">
        <v>12</v>
      </c>
      <c r="G7" s="22"/>
      <c r="H7" s="22"/>
      <c r="I7" s="24"/>
    </row>
    <row r="8" customFormat="false" ht="21" hidden="false" customHeight="true" outlineLevel="0" collapsed="false">
      <c r="A8" s="25" t="s">
        <v>13</v>
      </c>
      <c r="B8" s="26" t="n">
        <v>90</v>
      </c>
      <c r="C8" s="27" t="n">
        <v>100</v>
      </c>
      <c r="D8" s="27" t="n">
        <v>110</v>
      </c>
      <c r="E8" s="26" t="n">
        <v>120</v>
      </c>
      <c r="F8" s="26" t="n">
        <v>130</v>
      </c>
      <c r="G8" s="27" t="n">
        <v>140</v>
      </c>
      <c r="H8" s="28" t="n">
        <v>150</v>
      </c>
      <c r="I8" s="27"/>
    </row>
    <row r="9" customFormat="false" ht="18.75" hidden="false" customHeight="true" outlineLevel="0" collapsed="false">
      <c r="A9" s="29" t="s">
        <v>14</v>
      </c>
      <c r="B9" s="30"/>
      <c r="C9" s="30"/>
      <c r="D9" s="30"/>
      <c r="E9" s="30"/>
      <c r="F9" s="30"/>
      <c r="G9" s="30"/>
      <c r="H9" s="31"/>
      <c r="I9" s="32"/>
    </row>
    <row r="10" customFormat="false" ht="18.75" hidden="false" customHeight="true" outlineLevel="0" collapsed="false">
      <c r="A10" s="33" t="s">
        <v>15</v>
      </c>
      <c r="B10" s="31" t="n">
        <v>20</v>
      </c>
      <c r="C10" s="31" t="n">
        <v>20</v>
      </c>
      <c r="D10" s="31" t="n">
        <v>20</v>
      </c>
      <c r="E10" s="31" t="n">
        <v>20</v>
      </c>
      <c r="F10" s="31" t="n">
        <v>20</v>
      </c>
      <c r="G10" s="31" t="n">
        <v>20</v>
      </c>
      <c r="H10" s="31" t="n">
        <v>20</v>
      </c>
      <c r="I10" s="34"/>
    </row>
    <row r="11" customFormat="false" ht="18" hidden="false" customHeight="true" outlineLevel="0" collapsed="false">
      <c r="A11" s="33"/>
      <c r="B11" s="31"/>
      <c r="C11" s="31"/>
      <c r="D11" s="31"/>
      <c r="E11" s="31"/>
      <c r="F11" s="31"/>
      <c r="G11" s="31"/>
      <c r="H11" s="31"/>
      <c r="I11" s="34"/>
    </row>
    <row r="12" customFormat="false" ht="24" hidden="true" customHeight="true" outlineLevel="0" collapsed="false">
      <c r="B12" s="35"/>
      <c r="C12" s="35"/>
      <c r="D12" s="35"/>
      <c r="E12" s="35"/>
      <c r="F12" s="35"/>
      <c r="G12" s="35"/>
      <c r="H12" s="35"/>
      <c r="I12" s="34"/>
    </row>
    <row r="13" customFormat="false" ht="19.5" hidden="false" customHeight="true" outlineLevel="0" collapsed="false">
      <c r="A13" s="36" t="s">
        <v>16</v>
      </c>
      <c r="B13" s="35" t="n">
        <v>20</v>
      </c>
      <c r="C13" s="35" t="n">
        <v>20</v>
      </c>
      <c r="D13" s="35" t="n">
        <v>20</v>
      </c>
      <c r="E13" s="35" t="n">
        <v>20</v>
      </c>
      <c r="F13" s="35" t="n">
        <v>20</v>
      </c>
      <c r="G13" s="35" t="n">
        <v>20</v>
      </c>
      <c r="H13" s="35" t="n">
        <v>20</v>
      </c>
      <c r="I13" s="34"/>
    </row>
    <row r="14" customFormat="false" ht="18" hidden="false" customHeight="true" outlineLevel="0" collapsed="false">
      <c r="A14" s="1" t="s">
        <v>17</v>
      </c>
      <c r="B14" s="35"/>
      <c r="C14" s="37"/>
      <c r="D14" s="37"/>
      <c r="E14" s="37"/>
      <c r="F14" s="37"/>
      <c r="G14" s="37"/>
      <c r="H14" s="38"/>
      <c r="I14" s="34"/>
    </row>
    <row r="15" customFormat="false" ht="17.25" hidden="false" customHeight="true" outlineLevel="0" collapsed="false">
      <c r="A15" s="39" t="s">
        <v>18</v>
      </c>
      <c r="B15" s="35"/>
      <c r="C15" s="37"/>
      <c r="D15" s="37"/>
      <c r="E15" s="37"/>
      <c r="F15" s="37"/>
      <c r="G15" s="37"/>
      <c r="H15" s="37"/>
      <c r="I15" s="34"/>
    </row>
    <row r="16" customFormat="false" ht="15.75" hidden="false" customHeight="true" outlineLevel="0" collapsed="false">
      <c r="A16" s="40" t="s">
        <v>19</v>
      </c>
      <c r="B16" s="41"/>
      <c r="C16" s="42"/>
      <c r="D16" s="42"/>
      <c r="E16" s="42"/>
      <c r="F16" s="42"/>
      <c r="G16" s="42"/>
      <c r="H16" s="42"/>
      <c r="I16" s="43"/>
    </row>
    <row r="17" customFormat="false" ht="18.75" hidden="true" customHeight="true" outlineLevel="0" collapsed="false">
      <c r="A17" s="39"/>
      <c r="B17" s="41"/>
      <c r="C17" s="42"/>
      <c r="D17" s="42"/>
      <c r="E17" s="42"/>
      <c r="F17" s="42"/>
      <c r="G17" s="42"/>
      <c r="H17" s="42"/>
      <c r="I17" s="43"/>
    </row>
    <row r="18" customFormat="false" ht="0.75" hidden="true" customHeight="true" outlineLevel="0" collapsed="false">
      <c r="A18" s="40"/>
      <c r="B18" s="41"/>
      <c r="C18" s="42"/>
      <c r="D18" s="42"/>
      <c r="E18" s="42"/>
      <c r="F18" s="42"/>
      <c r="G18" s="42"/>
      <c r="H18" s="42"/>
      <c r="I18" s="43"/>
    </row>
    <row r="19" customFormat="false" ht="24" hidden="true" customHeight="true" outlineLevel="0" collapsed="false">
      <c r="A19" s="40"/>
      <c r="B19" s="41"/>
      <c r="C19" s="42"/>
      <c r="D19" s="42"/>
      <c r="E19" s="42"/>
      <c r="F19" s="42"/>
      <c r="G19" s="42"/>
      <c r="H19" s="42"/>
      <c r="I19" s="43"/>
    </row>
    <row r="20" customFormat="false" ht="23.25" hidden="true" customHeight="true" outlineLevel="0" collapsed="false">
      <c r="A20" s="40"/>
      <c r="B20" s="41"/>
      <c r="C20" s="42"/>
      <c r="D20" s="42"/>
      <c r="E20" s="42"/>
      <c r="F20" s="42"/>
      <c r="G20" s="42"/>
      <c r="H20" s="42"/>
      <c r="I20" s="43"/>
    </row>
    <row r="21" customFormat="false" ht="24" hidden="true" customHeight="true" outlineLevel="0" collapsed="false">
      <c r="A21" s="40"/>
      <c r="B21" s="41"/>
      <c r="C21" s="42"/>
      <c r="D21" s="42"/>
      <c r="E21" s="42"/>
      <c r="F21" s="42"/>
      <c r="G21" s="42"/>
      <c r="H21" s="42"/>
      <c r="I21" s="43"/>
    </row>
    <row r="22" customFormat="false" ht="24" hidden="true" customHeight="true" outlineLevel="0" collapsed="false">
      <c r="A22" s="40"/>
      <c r="B22" s="41"/>
      <c r="C22" s="42"/>
      <c r="D22" s="42"/>
      <c r="E22" s="42"/>
      <c r="F22" s="42"/>
      <c r="G22" s="42"/>
      <c r="H22" s="42"/>
      <c r="I22" s="43"/>
    </row>
    <row r="23" customFormat="false" ht="24" hidden="true" customHeight="true" outlineLevel="0" collapsed="false">
      <c r="A23" s="40"/>
      <c r="B23" s="41"/>
      <c r="C23" s="42"/>
      <c r="D23" s="42"/>
      <c r="E23" s="42"/>
      <c r="F23" s="42"/>
      <c r="G23" s="42"/>
      <c r="H23" s="42"/>
      <c r="I23" s="43"/>
    </row>
    <row r="24" customFormat="false" ht="24" hidden="false" customHeight="true" outlineLevel="0" collapsed="false">
      <c r="A24" s="44" t="s">
        <v>20</v>
      </c>
      <c r="B24" s="45"/>
      <c r="C24" s="45"/>
      <c r="F24" s="45"/>
      <c r="G24" s="45" t="s">
        <v>21</v>
      </c>
      <c r="H24" s="5"/>
    </row>
    <row r="25" customFormat="false" ht="18.75" hidden="false" customHeight="true" outlineLevel="0" collapsed="false">
      <c r="A25" s="46"/>
      <c r="B25" s="47"/>
      <c r="C25" s="47"/>
      <c r="D25" s="47"/>
      <c r="E25" s="47"/>
      <c r="F25" s="47"/>
      <c r="G25" s="47"/>
      <c r="H25" s="47"/>
      <c r="I25" s="48"/>
    </row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29" customFormat="false" ht="24.75" hidden="false" customHeight="true" outlineLevel="0" collapsed="false"/>
    <row r="30" customFormat="false" ht="24.75" hidden="false" customHeight="true" outlineLevel="0" collapsed="false"/>
  </sheetData>
  <mergeCells count="9">
    <mergeCell ref="G1:I1"/>
    <mergeCell ref="A2:F2"/>
    <mergeCell ref="G2:I4"/>
    <mergeCell ref="B3:F3"/>
    <mergeCell ref="B4:F4"/>
    <mergeCell ref="B5:D5"/>
    <mergeCell ref="E5:G5"/>
    <mergeCell ref="B6:D6"/>
    <mergeCell ref="E6:G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4" colorId="64" zoomScale="115" zoomScaleNormal="115" zoomScalePageLayoutView="80" workbookViewId="0">
      <selection pane="topLeft" activeCell="K1" activeCellId="0" sqref="K1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0.5"/>
    <col collapsed="false" customWidth="true" hidden="false" outlineLevel="0" max="7" min="2" style="1" width="7.38"/>
    <col collapsed="false" customWidth="true" hidden="false" outlineLevel="0" max="8" min="8" style="1" width="8.25"/>
    <col collapsed="false" customWidth="true" hidden="true" outlineLevel="0" max="9" min="9" style="1" width="0.26"/>
    <col collapsed="false" customWidth="false" hidden="false" outlineLevel="0" max="16384" min="10" style="1" width="8.88"/>
  </cols>
  <sheetData>
    <row r="1" customFormat="false" ht="141.75" hidden="false" customHeight="true" outlineLevel="0" collapsed="false">
      <c r="A1" s="49" t="s">
        <v>22</v>
      </c>
      <c r="B1" s="50"/>
      <c r="C1" s="50"/>
      <c r="D1" s="50"/>
      <c r="E1" s="50"/>
      <c r="F1" s="50"/>
      <c r="G1" s="50"/>
      <c r="H1" s="50"/>
      <c r="I1" s="50"/>
    </row>
    <row r="2" customFormat="false" ht="18" hidden="false" customHeight="true" outlineLevel="0" collapsed="false">
      <c r="A2" s="51" t="s">
        <v>23</v>
      </c>
      <c r="B2" s="13"/>
      <c r="C2" s="13"/>
      <c r="D2" s="13"/>
      <c r="E2" s="13"/>
      <c r="F2" s="13"/>
      <c r="G2" s="13"/>
      <c r="H2" s="13"/>
      <c r="I2" s="13"/>
    </row>
    <row r="3" customFormat="false" ht="18" hidden="false" customHeight="true" outlineLevel="0" collapsed="false">
      <c r="A3" s="52" t="s">
        <v>24</v>
      </c>
      <c r="B3" s="53" t="n">
        <v>90</v>
      </c>
      <c r="C3" s="54" t="n">
        <v>100</v>
      </c>
      <c r="D3" s="55" t="n">
        <v>110</v>
      </c>
      <c r="E3" s="54" t="n">
        <v>120</v>
      </c>
      <c r="F3" s="54" t="n">
        <v>130</v>
      </c>
      <c r="G3" s="54" t="n">
        <v>140</v>
      </c>
      <c r="H3" s="54" t="n">
        <v>150</v>
      </c>
      <c r="I3" s="54"/>
    </row>
    <row r="4" customFormat="false" ht="18" hidden="false" customHeight="true" outlineLevel="0" collapsed="false">
      <c r="A4" s="56" t="s">
        <v>25</v>
      </c>
      <c r="B4" s="57" t="n">
        <v>46.5</v>
      </c>
      <c r="C4" s="57" t="n">
        <v>49</v>
      </c>
      <c r="D4" s="57" t="n">
        <v>51.5</v>
      </c>
      <c r="E4" s="57" t="n">
        <v>54</v>
      </c>
      <c r="F4" s="57" t="n">
        <v>57</v>
      </c>
      <c r="G4" s="57" t="n">
        <v>60</v>
      </c>
      <c r="H4" s="57" t="n">
        <v>63.5</v>
      </c>
      <c r="I4" s="13"/>
    </row>
    <row r="5" customFormat="false" ht="18" hidden="false" customHeight="true" outlineLevel="0" collapsed="false">
      <c r="A5" s="56" t="s">
        <v>26</v>
      </c>
      <c r="B5" s="57" t="n">
        <v>28.5</v>
      </c>
      <c r="C5" s="57" t="n">
        <v>29.5</v>
      </c>
      <c r="D5" s="57" t="n">
        <v>30.5</v>
      </c>
      <c r="E5" s="58" t="n">
        <v>32</v>
      </c>
      <c r="F5" s="57" t="n">
        <v>33.5</v>
      </c>
      <c r="G5" s="57" t="n">
        <v>35</v>
      </c>
      <c r="H5" s="57" t="n">
        <v>36.5</v>
      </c>
      <c r="I5" s="13"/>
    </row>
    <row r="6" customFormat="false" ht="18" hidden="false" customHeight="true" outlineLevel="0" collapsed="false">
      <c r="A6" s="56" t="s">
        <v>27</v>
      </c>
      <c r="B6" s="57" t="n">
        <v>27</v>
      </c>
      <c r="C6" s="57" t="n">
        <v>28</v>
      </c>
      <c r="D6" s="57" t="n">
        <v>29</v>
      </c>
      <c r="E6" s="57" t="n">
        <v>30.5</v>
      </c>
      <c r="F6" s="57" t="n">
        <v>32</v>
      </c>
      <c r="G6" s="57" t="n">
        <v>33.5</v>
      </c>
      <c r="H6" s="57" t="n">
        <v>35</v>
      </c>
      <c r="I6" s="59"/>
    </row>
    <row r="7" customFormat="false" ht="18" hidden="false" customHeight="true" outlineLevel="0" collapsed="false">
      <c r="A7" s="56" t="s">
        <v>28</v>
      </c>
      <c r="B7" s="57"/>
      <c r="C7" s="57"/>
      <c r="D7" s="57"/>
      <c r="E7" s="60"/>
      <c r="F7" s="57"/>
      <c r="G7" s="57"/>
      <c r="H7" s="57"/>
      <c r="I7" s="59"/>
    </row>
    <row r="8" customFormat="false" ht="18.75" hidden="false" customHeight="true" outlineLevel="0" collapsed="false">
      <c r="A8" s="56" t="s">
        <v>29</v>
      </c>
      <c r="B8" s="61"/>
      <c r="C8" s="62"/>
      <c r="D8" s="61"/>
      <c r="E8" s="62"/>
      <c r="F8" s="61"/>
      <c r="G8" s="62"/>
      <c r="H8" s="61"/>
      <c r="I8" s="59"/>
    </row>
    <row r="9" customFormat="false" ht="18" hidden="false" customHeight="true" outlineLevel="0" collapsed="false">
      <c r="A9" s="56" t="s">
        <v>30</v>
      </c>
      <c r="B9" s="61" t="n">
        <v>14</v>
      </c>
      <c r="C9" s="62" t="n">
        <v>14.5</v>
      </c>
      <c r="D9" s="61" t="n">
        <v>15</v>
      </c>
      <c r="E9" s="62" t="n">
        <v>16</v>
      </c>
      <c r="F9" s="61" t="n">
        <v>17</v>
      </c>
      <c r="G9" s="62" t="n">
        <v>18</v>
      </c>
      <c r="H9" s="61" t="n">
        <v>19</v>
      </c>
      <c r="I9" s="59"/>
    </row>
    <row r="10" customFormat="false" ht="15.75" hidden="false" customHeight="true" outlineLevel="0" collapsed="false">
      <c r="A10" s="56" t="s">
        <v>31</v>
      </c>
      <c r="B10" s="57" t="n">
        <v>13</v>
      </c>
      <c r="C10" s="57" t="n">
        <v>13.5</v>
      </c>
      <c r="D10" s="57" t="n">
        <v>14</v>
      </c>
      <c r="E10" s="57" t="n">
        <v>15</v>
      </c>
      <c r="F10" s="57" t="n">
        <v>16</v>
      </c>
      <c r="G10" s="57" t="n">
        <v>17</v>
      </c>
      <c r="H10" s="57" t="n">
        <v>18</v>
      </c>
      <c r="I10" s="57"/>
    </row>
    <row r="11" customFormat="false" ht="18" hidden="false" customHeight="true" outlineLevel="0" collapsed="false">
      <c r="A11" s="56"/>
      <c r="B11" s="57"/>
      <c r="C11" s="57"/>
      <c r="D11" s="57"/>
      <c r="E11" s="57"/>
      <c r="F11" s="57"/>
      <c r="G11" s="57"/>
      <c r="H11" s="57"/>
      <c r="I11" s="59"/>
    </row>
    <row r="12" customFormat="false" ht="14.25" hidden="false" customHeight="true" outlineLevel="0" collapsed="false">
      <c r="B12" s="57"/>
      <c r="C12" s="57"/>
      <c r="D12" s="57"/>
      <c r="E12" s="57"/>
      <c r="F12" s="57"/>
      <c r="G12" s="57"/>
      <c r="H12" s="57"/>
      <c r="I12" s="59"/>
    </row>
    <row r="13" customFormat="false" ht="18" hidden="true" customHeight="true" outlineLevel="0" collapsed="false">
      <c r="A13" s="56"/>
      <c r="B13" s="57"/>
      <c r="C13" s="57"/>
      <c r="D13" s="57"/>
      <c r="E13" s="57"/>
      <c r="F13" s="57"/>
      <c r="G13" s="57"/>
      <c r="H13" s="57"/>
      <c r="I13" s="57"/>
    </row>
    <row r="14" customFormat="false" ht="18" hidden="true" customHeight="true" outlineLevel="0" collapsed="false">
      <c r="A14" s="56"/>
      <c r="B14" s="61"/>
      <c r="C14" s="62"/>
      <c r="D14" s="61"/>
      <c r="E14" s="62"/>
      <c r="F14" s="61"/>
      <c r="G14" s="62"/>
      <c r="H14" s="61"/>
      <c r="I14" s="57"/>
    </row>
    <row r="15" customFormat="false" ht="18" hidden="true" customHeight="true" outlineLevel="0" collapsed="false">
      <c r="A15" s="56"/>
      <c r="B15" s="57"/>
      <c r="C15" s="57"/>
      <c r="D15" s="57"/>
      <c r="E15" s="57"/>
      <c r="F15" s="57"/>
      <c r="G15" s="57"/>
      <c r="H15" s="57"/>
      <c r="I15" s="57"/>
    </row>
    <row r="16" customFormat="false" ht="13.5" hidden="true" customHeight="true" outlineLevel="0" collapsed="false">
      <c r="A16" s="63"/>
      <c r="B16" s="63"/>
      <c r="C16" s="63"/>
      <c r="D16" s="63"/>
      <c r="E16" s="63"/>
      <c r="F16" s="63"/>
      <c r="G16" s="63"/>
      <c r="H16" s="63"/>
      <c r="I16" s="63"/>
      <c r="M16" s="64"/>
    </row>
    <row r="17" customFormat="false" ht="17.25" hidden="true" customHeight="true" outlineLevel="0" collapsed="false">
      <c r="A17" s="63"/>
      <c r="B17" s="63"/>
      <c r="C17" s="63"/>
      <c r="D17" s="63"/>
      <c r="E17" s="63"/>
      <c r="F17" s="63"/>
      <c r="G17" s="63"/>
      <c r="H17" s="63"/>
      <c r="I17" s="63"/>
      <c r="M17" s="64"/>
    </row>
    <row r="18" customFormat="false" ht="21" hidden="true" customHeight="true" outlineLevel="0" collapsed="false">
      <c r="A18" s="63"/>
      <c r="B18" s="63"/>
      <c r="C18" s="63"/>
      <c r="D18" s="63"/>
      <c r="E18" s="63"/>
      <c r="F18" s="63"/>
      <c r="G18" s="63"/>
      <c r="H18" s="63"/>
      <c r="I18" s="63"/>
      <c r="M18" s="64"/>
    </row>
    <row r="19" customFormat="false" ht="3" hidden="true" customHeight="true" outlineLevel="0" collapsed="false">
      <c r="A19" s="63"/>
      <c r="B19" s="63"/>
      <c r="C19" s="63"/>
      <c r="D19" s="63"/>
      <c r="E19" s="63"/>
      <c r="F19" s="63"/>
      <c r="G19" s="63"/>
      <c r="H19" s="63"/>
      <c r="I19" s="63"/>
      <c r="M19" s="64"/>
    </row>
    <row r="20" customFormat="false" ht="1.5" hidden="false" customHeight="true" outlineLevel="0" collapsed="false">
      <c r="A20" s="63"/>
      <c r="B20" s="63"/>
      <c r="C20" s="63"/>
      <c r="D20" s="63"/>
      <c r="E20" s="63"/>
      <c r="F20" s="63"/>
      <c r="G20" s="63"/>
      <c r="H20" s="63"/>
      <c r="I20" s="63"/>
    </row>
    <row r="21" customFormat="false" ht="13.5" hidden="false" customHeight="true" outlineLevel="0" collapsed="false"/>
    <row r="22" customFormat="false" ht="13.5" hidden="false" customHeight="true" outlineLevel="0" collapsed="false">
      <c r="A22" s="65" t="s">
        <v>32</v>
      </c>
      <c r="B22" s="65"/>
      <c r="C22" s="65"/>
      <c r="D22" s="65"/>
      <c r="E22" s="65"/>
      <c r="F22" s="65"/>
      <c r="G22" s="65"/>
      <c r="H22" s="65"/>
      <c r="I22" s="65"/>
    </row>
    <row r="23" customFormat="false" ht="13.5" hidden="false" customHeight="true" outlineLevel="0" collapsed="false">
      <c r="A23" s="66" t="s">
        <v>33</v>
      </c>
      <c r="B23" s="66"/>
      <c r="C23" s="66"/>
      <c r="D23" s="66"/>
      <c r="E23" s="66"/>
      <c r="F23" s="66"/>
      <c r="G23" s="66"/>
      <c r="H23" s="66"/>
      <c r="I23" s="66"/>
    </row>
    <row r="24" customFormat="false" ht="12.75" hidden="false" customHeight="true" outlineLevel="0" collapsed="false"/>
    <row r="25" customFormat="false" ht="15" hidden="false" customHeight="true" outlineLevel="0" collapsed="false">
      <c r="A25" s="65"/>
      <c r="B25" s="65"/>
      <c r="C25" s="65"/>
      <c r="D25" s="65"/>
      <c r="E25" s="65"/>
      <c r="F25" s="65"/>
      <c r="G25" s="65"/>
      <c r="H25" s="65"/>
      <c r="I25" s="65"/>
    </row>
    <row r="26" customFormat="false" ht="15" hidden="false" customHeight="true" outlineLevel="0" collapsed="false">
      <c r="A26" s="17" t="s">
        <v>34</v>
      </c>
      <c r="B26" s="67"/>
      <c r="C26" s="47"/>
      <c r="D26" s="67"/>
      <c r="E26" s="47"/>
      <c r="F26" s="47"/>
      <c r="G26" s="67"/>
      <c r="H26" s="67"/>
      <c r="I26" s="68"/>
    </row>
    <row r="27" customFormat="false" ht="25.5" hidden="false" customHeight="true" outlineLevel="0" collapsed="false">
      <c r="A27" s="69"/>
      <c r="B27" s="69"/>
      <c r="C27" s="70"/>
      <c r="D27" s="71"/>
      <c r="E27" s="72" t="s">
        <v>35</v>
      </c>
      <c r="F27" s="70"/>
      <c r="G27" s="71"/>
      <c r="H27" s="71"/>
      <c r="I27" s="73"/>
    </row>
    <row r="28" customFormat="false" ht="30" hidden="false" customHeight="true" outlineLevel="0" collapsed="false">
      <c r="A28" s="74" t="s">
        <v>36</v>
      </c>
      <c r="B28" s="74"/>
      <c r="C28" s="75" t="s">
        <v>37</v>
      </c>
      <c r="D28" s="75"/>
      <c r="E28" s="75"/>
      <c r="F28" s="75"/>
      <c r="G28" s="75"/>
      <c r="H28" s="75"/>
      <c r="I28" s="75"/>
    </row>
    <row r="29" customFormat="false" ht="21.75" hidden="false" customHeight="true" outlineLevel="0" collapsed="false">
      <c r="A29" s="74" t="s">
        <v>38</v>
      </c>
      <c r="B29" s="74"/>
      <c r="C29" s="75"/>
      <c r="D29" s="75"/>
      <c r="E29" s="75"/>
      <c r="F29" s="75"/>
      <c r="G29" s="75"/>
      <c r="H29" s="75"/>
      <c r="I29" s="75"/>
    </row>
    <row r="30" customFormat="false" ht="27.75" hidden="false" customHeight="true" outlineLevel="0" collapsed="false">
      <c r="A30" s="76"/>
      <c r="B30" s="76"/>
      <c r="C30" s="75"/>
      <c r="D30" s="75"/>
      <c r="E30" s="75"/>
      <c r="F30" s="75"/>
      <c r="G30" s="75"/>
      <c r="H30" s="75"/>
      <c r="I30" s="75"/>
    </row>
    <row r="31" customFormat="false" ht="30.75" hidden="false" customHeight="true" outlineLevel="0" collapsed="false">
      <c r="A31" s="74"/>
      <c r="B31" s="74"/>
      <c r="C31" s="65"/>
      <c r="D31" s="65"/>
      <c r="E31" s="65"/>
      <c r="F31" s="65"/>
      <c r="G31" s="65"/>
      <c r="H31" s="65"/>
      <c r="I31" s="65"/>
    </row>
    <row r="32" customFormat="false" ht="18" hidden="false" customHeight="true" outlineLevel="0" collapsed="false">
      <c r="A32" s="64"/>
    </row>
    <row r="33" customFormat="false" ht="18" hidden="false" customHeight="true" outlineLevel="0" collapsed="false">
      <c r="A33" s="77"/>
    </row>
  </sheetData>
  <mergeCells count="20">
    <mergeCell ref="B1:I1"/>
    <mergeCell ref="B12:H12"/>
    <mergeCell ref="B13:H13"/>
    <mergeCell ref="A16:I16"/>
    <mergeCell ref="A17:I17"/>
    <mergeCell ref="A18:I18"/>
    <mergeCell ref="A19:I19"/>
    <mergeCell ref="A20:I20"/>
    <mergeCell ref="A22:I22"/>
    <mergeCell ref="A23:I23"/>
    <mergeCell ref="A25:I25"/>
    <mergeCell ref="A27:B27"/>
    <mergeCell ref="A28:B28"/>
    <mergeCell ref="C28:I28"/>
    <mergeCell ref="A29:B29"/>
    <mergeCell ref="C29:I29"/>
    <mergeCell ref="A30:B30"/>
    <mergeCell ref="C30:I30"/>
    <mergeCell ref="A31:B31"/>
    <mergeCell ref="C31:I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A41" activeCellId="0" sqref="BA41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8.5"/>
    <col collapsed="false" customWidth="true" hidden="false" outlineLevel="0" max="9" min="3" style="1" width="8.62"/>
    <col collapsed="false" customWidth="true" hidden="true" outlineLevel="0" max="20" min="10" style="1" width="8.62"/>
    <col collapsed="false" customWidth="true" hidden="true" outlineLevel="0" max="24" min="21" style="1" width="9.25"/>
    <col collapsed="false" customWidth="true" hidden="false" outlineLevel="0" max="25" min="25" style="1" width="6.75"/>
    <col collapsed="false" customWidth="true" hidden="false" outlineLevel="0" max="26" min="26" style="1" width="6.25"/>
    <col collapsed="false" customWidth="true" hidden="false" outlineLevel="0" max="27" min="27" style="1" width="6.38"/>
    <col collapsed="false" customWidth="true" hidden="false" outlineLevel="0" max="28" min="28" style="1" width="7.25"/>
    <col collapsed="false" customWidth="true" hidden="true" outlineLevel="0" max="29" min="29" style="1" width="9.5"/>
    <col collapsed="false" customWidth="true" hidden="true" outlineLevel="0" max="30" min="30" style="1" width="11"/>
    <col collapsed="false" customWidth="true" hidden="true" outlineLevel="0" max="50" min="31" style="1" width="9.25"/>
    <col collapsed="false" customWidth="true" hidden="false" outlineLevel="0" max="51" min="51" style="1" width="10.62"/>
    <col collapsed="false" customWidth="false" hidden="false" outlineLevel="0" max="52" min="52" style="1" width="8.88"/>
    <col collapsed="false" customWidth="true" hidden="false" outlineLevel="0" max="54" min="53" style="1" width="16.38"/>
    <col collapsed="false" customWidth="false" hidden="false" outlineLevel="0" max="56" min="55" style="1" width="8.88"/>
    <col collapsed="false" customWidth="true" hidden="false" outlineLevel="0" max="57" min="57" style="1" width="11.5"/>
    <col collapsed="false" customWidth="true" hidden="false" outlineLevel="0" max="58" min="58" style="1" width="10.75"/>
    <col collapsed="false" customWidth="true" hidden="false" outlineLevel="0" max="59" min="59" style="1" width="13.88"/>
    <col collapsed="false" customWidth="true" hidden="false" outlineLevel="0" max="60" min="60" style="1" width="19.62"/>
    <col collapsed="false" customWidth="false" hidden="false" outlineLevel="0" max="64" min="61" style="1" width="8.88"/>
    <col collapsed="false" customWidth="true" hidden="false" outlineLevel="0" max="65" min="65" style="1" width="16.26"/>
    <col collapsed="false" customWidth="false" hidden="false" outlineLevel="0" max="67" min="66" style="1" width="8.88"/>
    <col collapsed="false" customWidth="true" hidden="false" outlineLevel="0" max="68" min="68" style="1" width="16.26"/>
    <col collapsed="false" customWidth="true" hidden="false" outlineLevel="0" max="69" min="69" style="1" width="7.5"/>
    <col collapsed="false" customWidth="true" hidden="false" outlineLevel="0" max="70" min="70" style="1" width="7.62"/>
    <col collapsed="false" customWidth="true" hidden="false" outlineLevel="0" max="72" min="71" style="1" width="8.38"/>
    <col collapsed="false" customWidth="true" hidden="false" outlineLevel="0" max="73" min="73" style="1" width="9.5"/>
    <col collapsed="false" customWidth="true" hidden="false" outlineLevel="0" max="74" min="74" style="1" width="6.12"/>
    <col collapsed="false" customWidth="true" hidden="false" outlineLevel="0" max="77" min="75" style="1" width="6"/>
    <col collapsed="false" customWidth="true" hidden="true" outlineLevel="0" max="78" min="78" style="1" width="10.49"/>
    <col collapsed="false" customWidth="true" hidden="false" outlineLevel="0" max="82" min="79" style="1" width="5.5"/>
    <col collapsed="false" customWidth="true" hidden="false" outlineLevel="0" max="83" min="83" style="1" width="7.12"/>
    <col collapsed="false" customWidth="true" hidden="true" outlineLevel="0" max="89" min="84" style="1" width="10.49"/>
    <col collapsed="false" customWidth="true" hidden="false" outlineLevel="0" max="90" min="90" style="1" width="6.75"/>
    <col collapsed="false" customWidth="true" hidden="false" outlineLevel="0" max="92" min="91" style="1" width="6.25"/>
    <col collapsed="false" customWidth="true" hidden="false" outlineLevel="0" max="93" min="93" style="1" width="7.25"/>
    <col collapsed="false" customWidth="true" hidden="true" outlineLevel="0" max="113" min="94" style="1" width="10.49"/>
    <col collapsed="false" customWidth="true" hidden="false" outlineLevel="0" max="114" min="114" style="1" width="8.38"/>
    <col collapsed="false" customWidth="false" hidden="false" outlineLevel="0" max="274" min="115" style="1" width="8.88"/>
    <col collapsed="false" customWidth="true" hidden="false" outlineLevel="0" max="275" min="275" style="1" width="7.5"/>
    <col collapsed="false" customWidth="true" hidden="false" outlineLevel="0" max="276" min="276" style="1" width="7.62"/>
    <col collapsed="false" customWidth="true" hidden="false" outlineLevel="0" max="279" min="277" style="1" width="6"/>
    <col collapsed="false" customWidth="true" hidden="false" outlineLevel="0" max="280" min="280" style="1" width="6.12"/>
    <col collapsed="false" customWidth="true" hidden="false" outlineLevel="0" max="283" min="281" style="1" width="6"/>
    <col collapsed="false" customWidth="true" hidden="true" outlineLevel="0" max="284" min="284" style="1" width="10.49"/>
    <col collapsed="false" customWidth="true" hidden="false" outlineLevel="0" max="290" min="285" style="1" width="5.5"/>
    <col collapsed="false" customWidth="true" hidden="true" outlineLevel="0" max="296" min="291" style="1" width="10.49"/>
    <col collapsed="false" customWidth="true" hidden="false" outlineLevel="0" max="297" min="297" style="1" width="6.75"/>
    <col collapsed="false" customWidth="true" hidden="false" outlineLevel="0" max="299" min="298" style="1" width="6.25"/>
    <col collapsed="false" customWidth="true" hidden="false" outlineLevel="0" max="300" min="300" style="1" width="7.25"/>
    <col collapsed="false" customWidth="true" hidden="true" outlineLevel="0" max="320" min="301" style="1" width="10.49"/>
    <col collapsed="false" customWidth="true" hidden="false" outlineLevel="0" max="321" min="321" style="1" width="8.38"/>
    <col collapsed="false" customWidth="false" hidden="false" outlineLevel="0" max="322" min="322" style="1" width="8.88"/>
    <col collapsed="false" customWidth="true" hidden="false" outlineLevel="0" max="330" min="323" style="1" width="16.26"/>
    <col collapsed="false" customWidth="true" hidden="false" outlineLevel="0" max="331" min="331" style="1" width="21.88"/>
    <col collapsed="false" customWidth="true" hidden="false" outlineLevel="0" max="333" min="332" style="1" width="11.12"/>
    <col collapsed="false" customWidth="false" hidden="false" outlineLevel="0" max="530" min="334" style="1" width="8.88"/>
    <col collapsed="false" customWidth="true" hidden="false" outlineLevel="0" max="531" min="531" style="1" width="7.5"/>
    <col collapsed="false" customWidth="true" hidden="false" outlineLevel="0" max="532" min="532" style="1" width="7.62"/>
    <col collapsed="false" customWidth="true" hidden="false" outlineLevel="0" max="535" min="533" style="1" width="6"/>
    <col collapsed="false" customWidth="true" hidden="false" outlineLevel="0" max="536" min="536" style="1" width="6.12"/>
    <col collapsed="false" customWidth="true" hidden="false" outlineLevel="0" max="539" min="537" style="1" width="6"/>
    <col collapsed="false" customWidth="true" hidden="true" outlineLevel="0" max="540" min="540" style="1" width="10.49"/>
    <col collapsed="false" customWidth="true" hidden="false" outlineLevel="0" max="546" min="541" style="1" width="5.5"/>
    <col collapsed="false" customWidth="true" hidden="true" outlineLevel="0" max="552" min="547" style="1" width="10.49"/>
    <col collapsed="false" customWidth="true" hidden="false" outlineLevel="0" max="553" min="553" style="1" width="6.75"/>
    <col collapsed="false" customWidth="true" hidden="false" outlineLevel="0" max="555" min="554" style="1" width="6.25"/>
    <col collapsed="false" customWidth="true" hidden="false" outlineLevel="0" max="556" min="556" style="1" width="7.25"/>
    <col collapsed="false" customWidth="true" hidden="true" outlineLevel="0" max="576" min="557" style="1" width="10.49"/>
    <col collapsed="false" customWidth="true" hidden="false" outlineLevel="0" max="577" min="577" style="1" width="8.38"/>
    <col collapsed="false" customWidth="false" hidden="false" outlineLevel="0" max="578" min="578" style="1" width="8.88"/>
    <col collapsed="false" customWidth="true" hidden="false" outlineLevel="0" max="586" min="579" style="1" width="16.26"/>
    <col collapsed="false" customWidth="true" hidden="false" outlineLevel="0" max="587" min="587" style="1" width="21.88"/>
    <col collapsed="false" customWidth="true" hidden="false" outlineLevel="0" max="589" min="588" style="1" width="11.12"/>
    <col collapsed="false" customWidth="false" hidden="false" outlineLevel="0" max="786" min="590" style="1" width="8.88"/>
    <col collapsed="false" customWidth="true" hidden="false" outlineLevel="0" max="787" min="787" style="1" width="7.5"/>
    <col collapsed="false" customWidth="true" hidden="false" outlineLevel="0" max="788" min="788" style="1" width="7.62"/>
    <col collapsed="false" customWidth="true" hidden="false" outlineLevel="0" max="791" min="789" style="1" width="6"/>
    <col collapsed="false" customWidth="true" hidden="false" outlineLevel="0" max="792" min="792" style="1" width="6.12"/>
    <col collapsed="false" customWidth="true" hidden="false" outlineLevel="0" max="795" min="793" style="1" width="6"/>
    <col collapsed="false" customWidth="true" hidden="true" outlineLevel="0" max="796" min="796" style="1" width="10.49"/>
    <col collapsed="false" customWidth="true" hidden="false" outlineLevel="0" max="802" min="797" style="1" width="5.5"/>
    <col collapsed="false" customWidth="true" hidden="true" outlineLevel="0" max="808" min="803" style="1" width="10.49"/>
    <col collapsed="false" customWidth="true" hidden="false" outlineLevel="0" max="809" min="809" style="1" width="6.75"/>
    <col collapsed="false" customWidth="true" hidden="false" outlineLevel="0" max="811" min="810" style="1" width="6.25"/>
    <col collapsed="false" customWidth="true" hidden="false" outlineLevel="0" max="812" min="812" style="1" width="7.25"/>
    <col collapsed="false" customWidth="true" hidden="true" outlineLevel="0" max="832" min="813" style="1" width="10.49"/>
    <col collapsed="false" customWidth="true" hidden="false" outlineLevel="0" max="833" min="833" style="1" width="8.38"/>
    <col collapsed="false" customWidth="false" hidden="false" outlineLevel="0" max="834" min="834" style="1" width="8.88"/>
    <col collapsed="false" customWidth="true" hidden="false" outlineLevel="0" max="842" min="835" style="1" width="16.26"/>
    <col collapsed="false" customWidth="true" hidden="false" outlineLevel="0" max="843" min="843" style="1" width="21.88"/>
    <col collapsed="false" customWidth="true" hidden="false" outlineLevel="0" max="845" min="844" style="1" width="11.12"/>
    <col collapsed="false" customWidth="false" hidden="false" outlineLevel="0" max="1042" min="846" style="1" width="8.88"/>
    <col collapsed="false" customWidth="true" hidden="false" outlineLevel="0" max="1043" min="1043" style="1" width="7.5"/>
    <col collapsed="false" customWidth="true" hidden="false" outlineLevel="0" max="1044" min="1044" style="1" width="7.62"/>
    <col collapsed="false" customWidth="true" hidden="false" outlineLevel="0" max="1047" min="1045" style="1" width="6"/>
    <col collapsed="false" customWidth="true" hidden="false" outlineLevel="0" max="1048" min="1048" style="1" width="6.12"/>
    <col collapsed="false" customWidth="true" hidden="false" outlineLevel="0" max="1051" min="1049" style="1" width="6"/>
    <col collapsed="false" customWidth="true" hidden="true" outlineLevel="0" max="1052" min="1052" style="1" width="10.49"/>
    <col collapsed="false" customWidth="true" hidden="false" outlineLevel="0" max="1058" min="1053" style="1" width="5.5"/>
    <col collapsed="false" customWidth="true" hidden="true" outlineLevel="0" max="1064" min="1059" style="1" width="10.49"/>
    <col collapsed="false" customWidth="true" hidden="false" outlineLevel="0" max="1065" min="1065" style="1" width="6.75"/>
    <col collapsed="false" customWidth="true" hidden="false" outlineLevel="0" max="1067" min="1066" style="1" width="6.25"/>
    <col collapsed="false" customWidth="true" hidden="false" outlineLevel="0" max="1068" min="1068" style="1" width="7.25"/>
    <col collapsed="false" customWidth="true" hidden="true" outlineLevel="0" max="1088" min="1069" style="1" width="10.49"/>
    <col collapsed="false" customWidth="true" hidden="false" outlineLevel="0" max="1089" min="1089" style="1" width="8.38"/>
    <col collapsed="false" customWidth="false" hidden="false" outlineLevel="0" max="1090" min="1090" style="1" width="8.88"/>
    <col collapsed="false" customWidth="true" hidden="false" outlineLevel="0" max="1098" min="1091" style="1" width="16.26"/>
    <col collapsed="false" customWidth="true" hidden="false" outlineLevel="0" max="1099" min="1099" style="1" width="21.88"/>
    <col collapsed="false" customWidth="true" hidden="false" outlineLevel="0" max="1101" min="1100" style="1" width="11.12"/>
    <col collapsed="false" customWidth="false" hidden="false" outlineLevel="0" max="1298" min="1102" style="1" width="8.88"/>
    <col collapsed="false" customWidth="true" hidden="false" outlineLevel="0" max="1299" min="1299" style="1" width="7.5"/>
    <col collapsed="false" customWidth="true" hidden="false" outlineLevel="0" max="1300" min="1300" style="1" width="7.62"/>
    <col collapsed="false" customWidth="true" hidden="false" outlineLevel="0" max="1303" min="1301" style="1" width="6"/>
    <col collapsed="false" customWidth="true" hidden="false" outlineLevel="0" max="1304" min="1304" style="1" width="6.12"/>
    <col collapsed="false" customWidth="true" hidden="false" outlineLevel="0" max="1307" min="1305" style="1" width="6"/>
    <col collapsed="false" customWidth="true" hidden="true" outlineLevel="0" max="1308" min="1308" style="1" width="10.49"/>
    <col collapsed="false" customWidth="true" hidden="false" outlineLevel="0" max="1314" min="1309" style="1" width="5.5"/>
    <col collapsed="false" customWidth="true" hidden="true" outlineLevel="0" max="1320" min="1315" style="1" width="10.49"/>
    <col collapsed="false" customWidth="true" hidden="false" outlineLevel="0" max="1321" min="1321" style="1" width="6.75"/>
    <col collapsed="false" customWidth="true" hidden="false" outlineLevel="0" max="1323" min="1322" style="1" width="6.25"/>
    <col collapsed="false" customWidth="true" hidden="false" outlineLevel="0" max="1324" min="1324" style="1" width="7.25"/>
    <col collapsed="false" customWidth="true" hidden="true" outlineLevel="0" max="1344" min="1325" style="1" width="10.49"/>
    <col collapsed="false" customWidth="true" hidden="false" outlineLevel="0" max="1345" min="1345" style="1" width="8.38"/>
    <col collapsed="false" customWidth="false" hidden="false" outlineLevel="0" max="1346" min="1346" style="1" width="8.88"/>
    <col collapsed="false" customWidth="true" hidden="false" outlineLevel="0" max="1354" min="1347" style="1" width="16.26"/>
    <col collapsed="false" customWidth="true" hidden="false" outlineLevel="0" max="1355" min="1355" style="1" width="21.88"/>
    <col collapsed="false" customWidth="true" hidden="false" outlineLevel="0" max="1357" min="1356" style="1" width="11.12"/>
    <col collapsed="false" customWidth="false" hidden="false" outlineLevel="0" max="1554" min="1358" style="1" width="8.88"/>
    <col collapsed="false" customWidth="true" hidden="false" outlineLevel="0" max="1555" min="1555" style="1" width="7.5"/>
    <col collapsed="false" customWidth="true" hidden="false" outlineLevel="0" max="1556" min="1556" style="1" width="7.62"/>
    <col collapsed="false" customWidth="true" hidden="false" outlineLevel="0" max="1559" min="1557" style="1" width="6"/>
    <col collapsed="false" customWidth="true" hidden="false" outlineLevel="0" max="1560" min="1560" style="1" width="6.12"/>
    <col collapsed="false" customWidth="true" hidden="false" outlineLevel="0" max="1563" min="1561" style="1" width="6"/>
    <col collapsed="false" customWidth="true" hidden="true" outlineLevel="0" max="1564" min="1564" style="1" width="10.49"/>
    <col collapsed="false" customWidth="true" hidden="false" outlineLevel="0" max="1570" min="1565" style="1" width="5.5"/>
    <col collapsed="false" customWidth="true" hidden="true" outlineLevel="0" max="1576" min="1571" style="1" width="10.49"/>
    <col collapsed="false" customWidth="true" hidden="false" outlineLevel="0" max="1577" min="1577" style="1" width="6.75"/>
    <col collapsed="false" customWidth="true" hidden="false" outlineLevel="0" max="1579" min="1578" style="1" width="6.25"/>
    <col collapsed="false" customWidth="true" hidden="false" outlineLevel="0" max="1580" min="1580" style="1" width="7.25"/>
    <col collapsed="false" customWidth="true" hidden="true" outlineLevel="0" max="1600" min="1581" style="1" width="10.49"/>
    <col collapsed="false" customWidth="true" hidden="false" outlineLevel="0" max="1601" min="1601" style="1" width="8.38"/>
    <col collapsed="false" customWidth="false" hidden="false" outlineLevel="0" max="1602" min="1602" style="1" width="8.88"/>
    <col collapsed="false" customWidth="true" hidden="false" outlineLevel="0" max="1610" min="1603" style="1" width="16.26"/>
    <col collapsed="false" customWidth="true" hidden="false" outlineLevel="0" max="1611" min="1611" style="1" width="21.88"/>
    <col collapsed="false" customWidth="true" hidden="false" outlineLevel="0" max="1613" min="1612" style="1" width="11.12"/>
    <col collapsed="false" customWidth="false" hidden="false" outlineLevel="0" max="1810" min="1614" style="1" width="8.88"/>
    <col collapsed="false" customWidth="true" hidden="false" outlineLevel="0" max="1811" min="1811" style="1" width="7.5"/>
    <col collapsed="false" customWidth="true" hidden="false" outlineLevel="0" max="1812" min="1812" style="1" width="7.62"/>
    <col collapsed="false" customWidth="true" hidden="false" outlineLevel="0" max="1815" min="1813" style="1" width="6"/>
    <col collapsed="false" customWidth="true" hidden="false" outlineLevel="0" max="1816" min="1816" style="1" width="6.12"/>
    <col collapsed="false" customWidth="true" hidden="false" outlineLevel="0" max="1819" min="1817" style="1" width="6"/>
    <col collapsed="false" customWidth="true" hidden="true" outlineLevel="0" max="1820" min="1820" style="1" width="10.49"/>
    <col collapsed="false" customWidth="true" hidden="false" outlineLevel="0" max="1826" min="1821" style="1" width="5.5"/>
    <col collapsed="false" customWidth="true" hidden="true" outlineLevel="0" max="1832" min="1827" style="1" width="10.49"/>
    <col collapsed="false" customWidth="true" hidden="false" outlineLevel="0" max="1833" min="1833" style="1" width="6.75"/>
    <col collapsed="false" customWidth="true" hidden="false" outlineLevel="0" max="1835" min="1834" style="1" width="6.25"/>
    <col collapsed="false" customWidth="true" hidden="false" outlineLevel="0" max="1836" min="1836" style="1" width="7.25"/>
    <col collapsed="false" customWidth="true" hidden="true" outlineLevel="0" max="1856" min="1837" style="1" width="10.49"/>
    <col collapsed="false" customWidth="true" hidden="false" outlineLevel="0" max="1857" min="1857" style="1" width="8.38"/>
    <col collapsed="false" customWidth="false" hidden="false" outlineLevel="0" max="1858" min="1858" style="1" width="8.88"/>
    <col collapsed="false" customWidth="true" hidden="false" outlineLevel="0" max="1866" min="1859" style="1" width="16.26"/>
    <col collapsed="false" customWidth="true" hidden="false" outlineLevel="0" max="1867" min="1867" style="1" width="21.88"/>
    <col collapsed="false" customWidth="true" hidden="false" outlineLevel="0" max="1869" min="1868" style="1" width="11.12"/>
    <col collapsed="false" customWidth="false" hidden="false" outlineLevel="0" max="2066" min="1870" style="1" width="8.88"/>
    <col collapsed="false" customWidth="true" hidden="false" outlineLevel="0" max="2067" min="2067" style="1" width="7.5"/>
    <col collapsed="false" customWidth="true" hidden="false" outlineLevel="0" max="2068" min="2068" style="1" width="7.62"/>
    <col collapsed="false" customWidth="true" hidden="false" outlineLevel="0" max="2071" min="2069" style="1" width="6"/>
    <col collapsed="false" customWidth="true" hidden="false" outlineLevel="0" max="2072" min="2072" style="1" width="6.12"/>
    <col collapsed="false" customWidth="true" hidden="false" outlineLevel="0" max="2075" min="2073" style="1" width="6"/>
    <col collapsed="false" customWidth="true" hidden="true" outlineLevel="0" max="2076" min="2076" style="1" width="10.49"/>
    <col collapsed="false" customWidth="true" hidden="false" outlineLevel="0" max="2082" min="2077" style="1" width="5.5"/>
    <col collapsed="false" customWidth="true" hidden="true" outlineLevel="0" max="2088" min="2083" style="1" width="10.49"/>
    <col collapsed="false" customWidth="true" hidden="false" outlineLevel="0" max="2089" min="2089" style="1" width="6.75"/>
    <col collapsed="false" customWidth="true" hidden="false" outlineLevel="0" max="2091" min="2090" style="1" width="6.25"/>
    <col collapsed="false" customWidth="true" hidden="false" outlineLevel="0" max="2092" min="2092" style="1" width="7.25"/>
    <col collapsed="false" customWidth="true" hidden="true" outlineLevel="0" max="2112" min="2093" style="1" width="10.49"/>
    <col collapsed="false" customWidth="true" hidden="false" outlineLevel="0" max="2113" min="2113" style="1" width="8.38"/>
    <col collapsed="false" customWidth="false" hidden="false" outlineLevel="0" max="2114" min="2114" style="1" width="8.88"/>
    <col collapsed="false" customWidth="true" hidden="false" outlineLevel="0" max="2122" min="2115" style="1" width="16.26"/>
    <col collapsed="false" customWidth="true" hidden="false" outlineLevel="0" max="2123" min="2123" style="1" width="21.88"/>
    <col collapsed="false" customWidth="true" hidden="false" outlineLevel="0" max="2125" min="2124" style="1" width="11.12"/>
    <col collapsed="false" customWidth="false" hidden="false" outlineLevel="0" max="2322" min="2126" style="1" width="8.88"/>
    <col collapsed="false" customWidth="true" hidden="false" outlineLevel="0" max="2323" min="2323" style="1" width="7.5"/>
    <col collapsed="false" customWidth="true" hidden="false" outlineLevel="0" max="2324" min="2324" style="1" width="7.62"/>
    <col collapsed="false" customWidth="true" hidden="false" outlineLevel="0" max="2327" min="2325" style="1" width="6"/>
    <col collapsed="false" customWidth="true" hidden="false" outlineLevel="0" max="2328" min="2328" style="1" width="6.12"/>
    <col collapsed="false" customWidth="true" hidden="false" outlineLevel="0" max="2331" min="2329" style="1" width="6"/>
    <col collapsed="false" customWidth="true" hidden="true" outlineLevel="0" max="2332" min="2332" style="1" width="10.49"/>
    <col collapsed="false" customWidth="true" hidden="false" outlineLevel="0" max="2338" min="2333" style="1" width="5.5"/>
    <col collapsed="false" customWidth="true" hidden="true" outlineLevel="0" max="2344" min="2339" style="1" width="10.49"/>
    <col collapsed="false" customWidth="true" hidden="false" outlineLevel="0" max="2345" min="2345" style="1" width="6.75"/>
    <col collapsed="false" customWidth="true" hidden="false" outlineLevel="0" max="2347" min="2346" style="1" width="6.25"/>
    <col collapsed="false" customWidth="true" hidden="false" outlineLevel="0" max="2348" min="2348" style="1" width="7.25"/>
    <col collapsed="false" customWidth="true" hidden="true" outlineLevel="0" max="2368" min="2349" style="1" width="10.49"/>
    <col collapsed="false" customWidth="true" hidden="false" outlineLevel="0" max="2369" min="2369" style="1" width="8.38"/>
    <col collapsed="false" customWidth="false" hidden="false" outlineLevel="0" max="2370" min="2370" style="1" width="8.88"/>
    <col collapsed="false" customWidth="true" hidden="false" outlineLevel="0" max="2378" min="2371" style="1" width="16.26"/>
    <col collapsed="false" customWidth="true" hidden="false" outlineLevel="0" max="2379" min="2379" style="1" width="21.88"/>
    <col collapsed="false" customWidth="true" hidden="false" outlineLevel="0" max="2381" min="2380" style="1" width="11.12"/>
    <col collapsed="false" customWidth="false" hidden="false" outlineLevel="0" max="2578" min="2382" style="1" width="8.88"/>
    <col collapsed="false" customWidth="true" hidden="false" outlineLevel="0" max="2579" min="2579" style="1" width="7.5"/>
    <col collapsed="false" customWidth="true" hidden="false" outlineLevel="0" max="2580" min="2580" style="1" width="7.62"/>
    <col collapsed="false" customWidth="true" hidden="false" outlineLevel="0" max="2583" min="2581" style="1" width="6"/>
    <col collapsed="false" customWidth="true" hidden="false" outlineLevel="0" max="2584" min="2584" style="1" width="6.12"/>
    <col collapsed="false" customWidth="true" hidden="false" outlineLevel="0" max="2587" min="2585" style="1" width="6"/>
    <col collapsed="false" customWidth="true" hidden="true" outlineLevel="0" max="2588" min="2588" style="1" width="10.49"/>
    <col collapsed="false" customWidth="true" hidden="false" outlineLevel="0" max="2594" min="2589" style="1" width="5.5"/>
    <col collapsed="false" customWidth="true" hidden="true" outlineLevel="0" max="2600" min="2595" style="1" width="10.49"/>
    <col collapsed="false" customWidth="true" hidden="false" outlineLevel="0" max="2601" min="2601" style="1" width="6.75"/>
    <col collapsed="false" customWidth="true" hidden="false" outlineLevel="0" max="2603" min="2602" style="1" width="6.25"/>
    <col collapsed="false" customWidth="true" hidden="false" outlineLevel="0" max="2604" min="2604" style="1" width="7.25"/>
    <col collapsed="false" customWidth="true" hidden="true" outlineLevel="0" max="2624" min="2605" style="1" width="10.49"/>
    <col collapsed="false" customWidth="true" hidden="false" outlineLevel="0" max="2625" min="2625" style="1" width="8.38"/>
    <col collapsed="false" customWidth="false" hidden="false" outlineLevel="0" max="2626" min="2626" style="1" width="8.88"/>
    <col collapsed="false" customWidth="true" hidden="false" outlineLevel="0" max="2634" min="2627" style="1" width="16.26"/>
    <col collapsed="false" customWidth="true" hidden="false" outlineLevel="0" max="2635" min="2635" style="1" width="21.88"/>
    <col collapsed="false" customWidth="true" hidden="false" outlineLevel="0" max="2637" min="2636" style="1" width="11.12"/>
    <col collapsed="false" customWidth="false" hidden="false" outlineLevel="0" max="2834" min="2638" style="1" width="8.88"/>
    <col collapsed="false" customWidth="true" hidden="false" outlineLevel="0" max="2835" min="2835" style="1" width="7.5"/>
    <col collapsed="false" customWidth="true" hidden="false" outlineLevel="0" max="2836" min="2836" style="1" width="7.62"/>
    <col collapsed="false" customWidth="true" hidden="false" outlineLevel="0" max="2839" min="2837" style="1" width="6"/>
    <col collapsed="false" customWidth="true" hidden="false" outlineLevel="0" max="2840" min="2840" style="1" width="6.12"/>
    <col collapsed="false" customWidth="true" hidden="false" outlineLevel="0" max="2843" min="2841" style="1" width="6"/>
    <col collapsed="false" customWidth="true" hidden="true" outlineLevel="0" max="2844" min="2844" style="1" width="10.49"/>
    <col collapsed="false" customWidth="true" hidden="false" outlineLevel="0" max="2850" min="2845" style="1" width="5.5"/>
    <col collapsed="false" customWidth="true" hidden="true" outlineLevel="0" max="2856" min="2851" style="1" width="10.49"/>
    <col collapsed="false" customWidth="true" hidden="false" outlineLevel="0" max="2857" min="2857" style="1" width="6.75"/>
    <col collapsed="false" customWidth="true" hidden="false" outlineLevel="0" max="2859" min="2858" style="1" width="6.25"/>
    <col collapsed="false" customWidth="true" hidden="false" outlineLevel="0" max="2860" min="2860" style="1" width="7.25"/>
    <col collapsed="false" customWidth="true" hidden="true" outlineLevel="0" max="2880" min="2861" style="1" width="10.49"/>
    <col collapsed="false" customWidth="true" hidden="false" outlineLevel="0" max="2881" min="2881" style="1" width="8.38"/>
    <col collapsed="false" customWidth="false" hidden="false" outlineLevel="0" max="2882" min="2882" style="1" width="8.88"/>
    <col collapsed="false" customWidth="true" hidden="false" outlineLevel="0" max="2890" min="2883" style="1" width="16.26"/>
    <col collapsed="false" customWidth="true" hidden="false" outlineLevel="0" max="2891" min="2891" style="1" width="21.88"/>
    <col collapsed="false" customWidth="true" hidden="false" outlineLevel="0" max="2893" min="2892" style="1" width="11.12"/>
    <col collapsed="false" customWidth="false" hidden="false" outlineLevel="0" max="3090" min="2894" style="1" width="8.88"/>
    <col collapsed="false" customWidth="true" hidden="false" outlineLevel="0" max="3091" min="3091" style="1" width="7.5"/>
    <col collapsed="false" customWidth="true" hidden="false" outlineLevel="0" max="3092" min="3092" style="1" width="7.62"/>
    <col collapsed="false" customWidth="true" hidden="false" outlineLevel="0" max="3095" min="3093" style="1" width="6"/>
    <col collapsed="false" customWidth="true" hidden="false" outlineLevel="0" max="3096" min="3096" style="1" width="6.12"/>
    <col collapsed="false" customWidth="true" hidden="false" outlineLevel="0" max="3099" min="3097" style="1" width="6"/>
    <col collapsed="false" customWidth="true" hidden="true" outlineLevel="0" max="3100" min="3100" style="1" width="10.49"/>
    <col collapsed="false" customWidth="true" hidden="false" outlineLevel="0" max="3106" min="3101" style="1" width="5.5"/>
    <col collapsed="false" customWidth="true" hidden="true" outlineLevel="0" max="3112" min="3107" style="1" width="10.49"/>
    <col collapsed="false" customWidth="true" hidden="false" outlineLevel="0" max="3113" min="3113" style="1" width="6.75"/>
    <col collapsed="false" customWidth="true" hidden="false" outlineLevel="0" max="3115" min="3114" style="1" width="6.25"/>
    <col collapsed="false" customWidth="true" hidden="false" outlineLevel="0" max="3116" min="3116" style="1" width="7.25"/>
    <col collapsed="false" customWidth="true" hidden="true" outlineLevel="0" max="3136" min="3117" style="1" width="10.49"/>
    <col collapsed="false" customWidth="true" hidden="false" outlineLevel="0" max="3137" min="3137" style="1" width="8.38"/>
    <col collapsed="false" customWidth="false" hidden="false" outlineLevel="0" max="3138" min="3138" style="1" width="8.88"/>
    <col collapsed="false" customWidth="true" hidden="false" outlineLevel="0" max="3146" min="3139" style="1" width="16.26"/>
    <col collapsed="false" customWidth="true" hidden="false" outlineLevel="0" max="3147" min="3147" style="1" width="21.88"/>
    <col collapsed="false" customWidth="true" hidden="false" outlineLevel="0" max="3149" min="3148" style="1" width="11.12"/>
    <col collapsed="false" customWidth="false" hidden="false" outlineLevel="0" max="3346" min="3150" style="1" width="8.88"/>
    <col collapsed="false" customWidth="true" hidden="false" outlineLevel="0" max="3347" min="3347" style="1" width="7.5"/>
    <col collapsed="false" customWidth="true" hidden="false" outlineLevel="0" max="3348" min="3348" style="1" width="7.62"/>
    <col collapsed="false" customWidth="true" hidden="false" outlineLevel="0" max="3351" min="3349" style="1" width="6"/>
    <col collapsed="false" customWidth="true" hidden="false" outlineLevel="0" max="3352" min="3352" style="1" width="6.12"/>
    <col collapsed="false" customWidth="true" hidden="false" outlineLevel="0" max="3355" min="3353" style="1" width="6"/>
    <col collapsed="false" customWidth="true" hidden="true" outlineLevel="0" max="3356" min="3356" style="1" width="10.49"/>
    <col collapsed="false" customWidth="true" hidden="false" outlineLevel="0" max="3362" min="3357" style="1" width="5.5"/>
    <col collapsed="false" customWidth="true" hidden="true" outlineLevel="0" max="3368" min="3363" style="1" width="10.49"/>
    <col collapsed="false" customWidth="true" hidden="false" outlineLevel="0" max="3369" min="3369" style="1" width="6.75"/>
    <col collapsed="false" customWidth="true" hidden="false" outlineLevel="0" max="3371" min="3370" style="1" width="6.25"/>
    <col collapsed="false" customWidth="true" hidden="false" outlineLevel="0" max="3372" min="3372" style="1" width="7.25"/>
    <col collapsed="false" customWidth="true" hidden="true" outlineLevel="0" max="3392" min="3373" style="1" width="10.49"/>
    <col collapsed="false" customWidth="true" hidden="false" outlineLevel="0" max="3393" min="3393" style="1" width="8.38"/>
    <col collapsed="false" customWidth="false" hidden="false" outlineLevel="0" max="3394" min="3394" style="1" width="8.88"/>
    <col collapsed="false" customWidth="true" hidden="false" outlineLevel="0" max="3402" min="3395" style="1" width="16.26"/>
    <col collapsed="false" customWidth="true" hidden="false" outlineLevel="0" max="3403" min="3403" style="1" width="21.88"/>
    <col collapsed="false" customWidth="true" hidden="false" outlineLevel="0" max="3405" min="3404" style="1" width="11.12"/>
    <col collapsed="false" customWidth="false" hidden="false" outlineLevel="0" max="3602" min="3406" style="1" width="8.88"/>
    <col collapsed="false" customWidth="true" hidden="false" outlineLevel="0" max="3603" min="3603" style="1" width="7.5"/>
    <col collapsed="false" customWidth="true" hidden="false" outlineLevel="0" max="3604" min="3604" style="1" width="7.62"/>
    <col collapsed="false" customWidth="true" hidden="false" outlineLevel="0" max="3607" min="3605" style="1" width="6"/>
    <col collapsed="false" customWidth="true" hidden="false" outlineLevel="0" max="3608" min="3608" style="1" width="6.12"/>
    <col collapsed="false" customWidth="true" hidden="false" outlineLevel="0" max="3611" min="3609" style="1" width="6"/>
    <col collapsed="false" customWidth="true" hidden="true" outlineLevel="0" max="3612" min="3612" style="1" width="10.49"/>
    <col collapsed="false" customWidth="true" hidden="false" outlineLevel="0" max="3618" min="3613" style="1" width="5.5"/>
    <col collapsed="false" customWidth="true" hidden="true" outlineLevel="0" max="3624" min="3619" style="1" width="10.49"/>
    <col collapsed="false" customWidth="true" hidden="false" outlineLevel="0" max="3625" min="3625" style="1" width="6.75"/>
    <col collapsed="false" customWidth="true" hidden="false" outlineLevel="0" max="3627" min="3626" style="1" width="6.25"/>
    <col collapsed="false" customWidth="true" hidden="false" outlineLevel="0" max="3628" min="3628" style="1" width="7.25"/>
    <col collapsed="false" customWidth="true" hidden="true" outlineLevel="0" max="3648" min="3629" style="1" width="10.49"/>
    <col collapsed="false" customWidth="true" hidden="false" outlineLevel="0" max="3649" min="3649" style="1" width="8.38"/>
    <col collapsed="false" customWidth="false" hidden="false" outlineLevel="0" max="3650" min="3650" style="1" width="8.88"/>
    <col collapsed="false" customWidth="true" hidden="false" outlineLevel="0" max="3658" min="3651" style="1" width="16.26"/>
    <col collapsed="false" customWidth="true" hidden="false" outlineLevel="0" max="3659" min="3659" style="1" width="21.88"/>
    <col collapsed="false" customWidth="true" hidden="false" outlineLevel="0" max="3661" min="3660" style="1" width="11.12"/>
    <col collapsed="false" customWidth="false" hidden="false" outlineLevel="0" max="3858" min="3662" style="1" width="8.88"/>
    <col collapsed="false" customWidth="true" hidden="false" outlineLevel="0" max="3859" min="3859" style="1" width="7.5"/>
    <col collapsed="false" customWidth="true" hidden="false" outlineLevel="0" max="3860" min="3860" style="1" width="7.62"/>
    <col collapsed="false" customWidth="true" hidden="false" outlineLevel="0" max="3863" min="3861" style="1" width="6"/>
    <col collapsed="false" customWidth="true" hidden="false" outlineLevel="0" max="3864" min="3864" style="1" width="6.12"/>
    <col collapsed="false" customWidth="true" hidden="false" outlineLevel="0" max="3867" min="3865" style="1" width="6"/>
    <col collapsed="false" customWidth="true" hidden="true" outlineLevel="0" max="3868" min="3868" style="1" width="10.49"/>
    <col collapsed="false" customWidth="true" hidden="false" outlineLevel="0" max="3874" min="3869" style="1" width="5.5"/>
    <col collapsed="false" customWidth="true" hidden="true" outlineLevel="0" max="3880" min="3875" style="1" width="10.49"/>
    <col collapsed="false" customWidth="true" hidden="false" outlineLevel="0" max="3881" min="3881" style="1" width="6.75"/>
    <col collapsed="false" customWidth="true" hidden="false" outlineLevel="0" max="3883" min="3882" style="1" width="6.25"/>
    <col collapsed="false" customWidth="true" hidden="false" outlineLevel="0" max="3884" min="3884" style="1" width="7.25"/>
    <col collapsed="false" customWidth="true" hidden="true" outlineLevel="0" max="3904" min="3885" style="1" width="10.49"/>
    <col collapsed="false" customWidth="true" hidden="false" outlineLevel="0" max="3905" min="3905" style="1" width="8.38"/>
    <col collapsed="false" customWidth="false" hidden="false" outlineLevel="0" max="3906" min="3906" style="1" width="8.88"/>
    <col collapsed="false" customWidth="true" hidden="false" outlineLevel="0" max="3914" min="3907" style="1" width="16.26"/>
    <col collapsed="false" customWidth="true" hidden="false" outlineLevel="0" max="3915" min="3915" style="1" width="21.88"/>
    <col collapsed="false" customWidth="true" hidden="false" outlineLevel="0" max="3917" min="3916" style="1" width="11.12"/>
    <col collapsed="false" customWidth="false" hidden="false" outlineLevel="0" max="4114" min="3918" style="1" width="8.88"/>
    <col collapsed="false" customWidth="true" hidden="false" outlineLevel="0" max="4115" min="4115" style="1" width="7.5"/>
    <col collapsed="false" customWidth="true" hidden="false" outlineLevel="0" max="4116" min="4116" style="1" width="7.62"/>
    <col collapsed="false" customWidth="true" hidden="false" outlineLevel="0" max="4119" min="4117" style="1" width="6"/>
    <col collapsed="false" customWidth="true" hidden="false" outlineLevel="0" max="4120" min="4120" style="1" width="6.12"/>
    <col collapsed="false" customWidth="true" hidden="false" outlineLevel="0" max="4123" min="4121" style="1" width="6"/>
    <col collapsed="false" customWidth="true" hidden="true" outlineLevel="0" max="4124" min="4124" style="1" width="10.49"/>
    <col collapsed="false" customWidth="true" hidden="false" outlineLevel="0" max="4130" min="4125" style="1" width="5.5"/>
    <col collapsed="false" customWidth="true" hidden="true" outlineLevel="0" max="4136" min="4131" style="1" width="10.49"/>
    <col collapsed="false" customWidth="true" hidden="false" outlineLevel="0" max="4137" min="4137" style="1" width="6.75"/>
    <col collapsed="false" customWidth="true" hidden="false" outlineLevel="0" max="4139" min="4138" style="1" width="6.25"/>
    <col collapsed="false" customWidth="true" hidden="false" outlineLevel="0" max="4140" min="4140" style="1" width="7.25"/>
    <col collapsed="false" customWidth="true" hidden="true" outlineLevel="0" max="4160" min="4141" style="1" width="10.49"/>
    <col collapsed="false" customWidth="true" hidden="false" outlineLevel="0" max="4161" min="4161" style="1" width="8.38"/>
    <col collapsed="false" customWidth="false" hidden="false" outlineLevel="0" max="4162" min="4162" style="1" width="8.88"/>
    <col collapsed="false" customWidth="true" hidden="false" outlineLevel="0" max="4170" min="4163" style="1" width="16.26"/>
    <col collapsed="false" customWidth="true" hidden="false" outlineLevel="0" max="4171" min="4171" style="1" width="21.88"/>
    <col collapsed="false" customWidth="true" hidden="false" outlineLevel="0" max="4173" min="4172" style="1" width="11.12"/>
    <col collapsed="false" customWidth="false" hidden="false" outlineLevel="0" max="4370" min="4174" style="1" width="8.88"/>
    <col collapsed="false" customWidth="true" hidden="false" outlineLevel="0" max="4371" min="4371" style="1" width="7.5"/>
    <col collapsed="false" customWidth="true" hidden="false" outlineLevel="0" max="4372" min="4372" style="1" width="7.62"/>
    <col collapsed="false" customWidth="true" hidden="false" outlineLevel="0" max="4375" min="4373" style="1" width="6"/>
    <col collapsed="false" customWidth="true" hidden="false" outlineLevel="0" max="4376" min="4376" style="1" width="6.12"/>
    <col collapsed="false" customWidth="true" hidden="false" outlineLevel="0" max="4379" min="4377" style="1" width="6"/>
    <col collapsed="false" customWidth="true" hidden="true" outlineLevel="0" max="4380" min="4380" style="1" width="10.49"/>
    <col collapsed="false" customWidth="true" hidden="false" outlineLevel="0" max="4386" min="4381" style="1" width="5.5"/>
    <col collapsed="false" customWidth="true" hidden="true" outlineLevel="0" max="4392" min="4387" style="1" width="10.49"/>
    <col collapsed="false" customWidth="true" hidden="false" outlineLevel="0" max="4393" min="4393" style="1" width="6.75"/>
    <col collapsed="false" customWidth="true" hidden="false" outlineLevel="0" max="4395" min="4394" style="1" width="6.25"/>
    <col collapsed="false" customWidth="true" hidden="false" outlineLevel="0" max="4396" min="4396" style="1" width="7.25"/>
    <col collapsed="false" customWidth="true" hidden="true" outlineLevel="0" max="4416" min="4397" style="1" width="10.49"/>
    <col collapsed="false" customWidth="true" hidden="false" outlineLevel="0" max="4417" min="4417" style="1" width="8.38"/>
    <col collapsed="false" customWidth="false" hidden="false" outlineLevel="0" max="4418" min="4418" style="1" width="8.88"/>
    <col collapsed="false" customWidth="true" hidden="false" outlineLevel="0" max="4426" min="4419" style="1" width="16.26"/>
    <col collapsed="false" customWidth="true" hidden="false" outlineLevel="0" max="4427" min="4427" style="1" width="21.88"/>
    <col collapsed="false" customWidth="true" hidden="false" outlineLevel="0" max="4429" min="4428" style="1" width="11.12"/>
    <col collapsed="false" customWidth="false" hidden="false" outlineLevel="0" max="4626" min="4430" style="1" width="8.88"/>
    <col collapsed="false" customWidth="true" hidden="false" outlineLevel="0" max="4627" min="4627" style="1" width="7.5"/>
    <col collapsed="false" customWidth="true" hidden="false" outlineLevel="0" max="4628" min="4628" style="1" width="7.62"/>
    <col collapsed="false" customWidth="true" hidden="false" outlineLevel="0" max="4631" min="4629" style="1" width="6"/>
    <col collapsed="false" customWidth="true" hidden="false" outlineLevel="0" max="4632" min="4632" style="1" width="6.12"/>
    <col collapsed="false" customWidth="true" hidden="false" outlineLevel="0" max="4635" min="4633" style="1" width="6"/>
    <col collapsed="false" customWidth="true" hidden="true" outlineLevel="0" max="4636" min="4636" style="1" width="10.49"/>
    <col collapsed="false" customWidth="true" hidden="false" outlineLevel="0" max="4642" min="4637" style="1" width="5.5"/>
    <col collapsed="false" customWidth="true" hidden="true" outlineLevel="0" max="4648" min="4643" style="1" width="10.49"/>
    <col collapsed="false" customWidth="true" hidden="false" outlineLevel="0" max="4649" min="4649" style="1" width="6.75"/>
    <col collapsed="false" customWidth="true" hidden="false" outlineLevel="0" max="4651" min="4650" style="1" width="6.25"/>
    <col collapsed="false" customWidth="true" hidden="false" outlineLevel="0" max="4652" min="4652" style="1" width="7.25"/>
    <col collapsed="false" customWidth="true" hidden="true" outlineLevel="0" max="4672" min="4653" style="1" width="10.49"/>
    <col collapsed="false" customWidth="true" hidden="false" outlineLevel="0" max="4673" min="4673" style="1" width="8.38"/>
    <col collapsed="false" customWidth="false" hidden="false" outlineLevel="0" max="4674" min="4674" style="1" width="8.88"/>
    <col collapsed="false" customWidth="true" hidden="false" outlineLevel="0" max="4682" min="4675" style="1" width="16.26"/>
    <col collapsed="false" customWidth="true" hidden="false" outlineLevel="0" max="4683" min="4683" style="1" width="21.88"/>
    <col collapsed="false" customWidth="true" hidden="false" outlineLevel="0" max="4685" min="4684" style="1" width="11.12"/>
    <col collapsed="false" customWidth="false" hidden="false" outlineLevel="0" max="4882" min="4686" style="1" width="8.88"/>
    <col collapsed="false" customWidth="true" hidden="false" outlineLevel="0" max="4883" min="4883" style="1" width="7.5"/>
    <col collapsed="false" customWidth="true" hidden="false" outlineLevel="0" max="4884" min="4884" style="1" width="7.62"/>
    <col collapsed="false" customWidth="true" hidden="false" outlineLevel="0" max="4887" min="4885" style="1" width="6"/>
    <col collapsed="false" customWidth="true" hidden="false" outlineLevel="0" max="4888" min="4888" style="1" width="6.12"/>
    <col collapsed="false" customWidth="true" hidden="false" outlineLevel="0" max="4891" min="4889" style="1" width="6"/>
    <col collapsed="false" customWidth="true" hidden="true" outlineLevel="0" max="4892" min="4892" style="1" width="10.49"/>
    <col collapsed="false" customWidth="true" hidden="false" outlineLevel="0" max="4898" min="4893" style="1" width="5.5"/>
    <col collapsed="false" customWidth="true" hidden="true" outlineLevel="0" max="4904" min="4899" style="1" width="10.49"/>
    <col collapsed="false" customWidth="true" hidden="false" outlineLevel="0" max="4905" min="4905" style="1" width="6.75"/>
    <col collapsed="false" customWidth="true" hidden="false" outlineLevel="0" max="4907" min="4906" style="1" width="6.25"/>
    <col collapsed="false" customWidth="true" hidden="false" outlineLevel="0" max="4908" min="4908" style="1" width="7.25"/>
    <col collapsed="false" customWidth="true" hidden="true" outlineLevel="0" max="4928" min="4909" style="1" width="10.49"/>
    <col collapsed="false" customWidth="true" hidden="false" outlineLevel="0" max="4929" min="4929" style="1" width="8.38"/>
    <col collapsed="false" customWidth="false" hidden="false" outlineLevel="0" max="4930" min="4930" style="1" width="8.88"/>
    <col collapsed="false" customWidth="true" hidden="false" outlineLevel="0" max="4938" min="4931" style="1" width="16.26"/>
    <col collapsed="false" customWidth="true" hidden="false" outlineLevel="0" max="4939" min="4939" style="1" width="21.88"/>
    <col collapsed="false" customWidth="true" hidden="false" outlineLevel="0" max="4941" min="4940" style="1" width="11.12"/>
    <col collapsed="false" customWidth="false" hidden="false" outlineLevel="0" max="5138" min="4942" style="1" width="8.88"/>
    <col collapsed="false" customWidth="true" hidden="false" outlineLevel="0" max="5139" min="5139" style="1" width="7.5"/>
    <col collapsed="false" customWidth="true" hidden="false" outlineLevel="0" max="5140" min="5140" style="1" width="7.62"/>
    <col collapsed="false" customWidth="true" hidden="false" outlineLevel="0" max="5143" min="5141" style="1" width="6"/>
    <col collapsed="false" customWidth="true" hidden="false" outlineLevel="0" max="5144" min="5144" style="1" width="6.12"/>
    <col collapsed="false" customWidth="true" hidden="false" outlineLevel="0" max="5147" min="5145" style="1" width="6"/>
    <col collapsed="false" customWidth="true" hidden="true" outlineLevel="0" max="5148" min="5148" style="1" width="10.49"/>
    <col collapsed="false" customWidth="true" hidden="false" outlineLevel="0" max="5154" min="5149" style="1" width="5.5"/>
    <col collapsed="false" customWidth="true" hidden="true" outlineLevel="0" max="5160" min="5155" style="1" width="10.49"/>
    <col collapsed="false" customWidth="true" hidden="false" outlineLevel="0" max="5161" min="5161" style="1" width="6.75"/>
    <col collapsed="false" customWidth="true" hidden="false" outlineLevel="0" max="5163" min="5162" style="1" width="6.25"/>
    <col collapsed="false" customWidth="true" hidden="false" outlineLevel="0" max="5164" min="5164" style="1" width="7.25"/>
    <col collapsed="false" customWidth="true" hidden="true" outlineLevel="0" max="5184" min="5165" style="1" width="10.49"/>
    <col collapsed="false" customWidth="true" hidden="false" outlineLevel="0" max="5185" min="5185" style="1" width="8.38"/>
    <col collapsed="false" customWidth="false" hidden="false" outlineLevel="0" max="5186" min="5186" style="1" width="8.88"/>
    <col collapsed="false" customWidth="true" hidden="false" outlineLevel="0" max="5194" min="5187" style="1" width="16.26"/>
    <col collapsed="false" customWidth="true" hidden="false" outlineLevel="0" max="5195" min="5195" style="1" width="21.88"/>
    <col collapsed="false" customWidth="true" hidden="false" outlineLevel="0" max="5197" min="5196" style="1" width="11.12"/>
    <col collapsed="false" customWidth="false" hidden="false" outlineLevel="0" max="5394" min="5198" style="1" width="8.88"/>
    <col collapsed="false" customWidth="true" hidden="false" outlineLevel="0" max="5395" min="5395" style="1" width="7.5"/>
    <col collapsed="false" customWidth="true" hidden="false" outlineLevel="0" max="5396" min="5396" style="1" width="7.62"/>
    <col collapsed="false" customWidth="true" hidden="false" outlineLevel="0" max="5399" min="5397" style="1" width="6"/>
    <col collapsed="false" customWidth="true" hidden="false" outlineLevel="0" max="5400" min="5400" style="1" width="6.12"/>
    <col collapsed="false" customWidth="true" hidden="false" outlineLevel="0" max="5403" min="5401" style="1" width="6"/>
    <col collapsed="false" customWidth="true" hidden="true" outlineLevel="0" max="5404" min="5404" style="1" width="10.49"/>
    <col collapsed="false" customWidth="true" hidden="false" outlineLevel="0" max="5410" min="5405" style="1" width="5.5"/>
    <col collapsed="false" customWidth="true" hidden="true" outlineLevel="0" max="5416" min="5411" style="1" width="10.49"/>
    <col collapsed="false" customWidth="true" hidden="false" outlineLevel="0" max="5417" min="5417" style="1" width="6.75"/>
    <col collapsed="false" customWidth="true" hidden="false" outlineLevel="0" max="5419" min="5418" style="1" width="6.25"/>
    <col collapsed="false" customWidth="true" hidden="false" outlineLevel="0" max="5420" min="5420" style="1" width="7.25"/>
    <col collapsed="false" customWidth="true" hidden="true" outlineLevel="0" max="5440" min="5421" style="1" width="10.49"/>
    <col collapsed="false" customWidth="true" hidden="false" outlineLevel="0" max="5441" min="5441" style="1" width="8.38"/>
    <col collapsed="false" customWidth="false" hidden="false" outlineLevel="0" max="5442" min="5442" style="1" width="8.88"/>
    <col collapsed="false" customWidth="true" hidden="false" outlineLevel="0" max="5450" min="5443" style="1" width="16.26"/>
    <col collapsed="false" customWidth="true" hidden="false" outlineLevel="0" max="5451" min="5451" style="1" width="21.88"/>
    <col collapsed="false" customWidth="true" hidden="false" outlineLevel="0" max="5453" min="5452" style="1" width="11.12"/>
    <col collapsed="false" customWidth="false" hidden="false" outlineLevel="0" max="5650" min="5454" style="1" width="8.88"/>
    <col collapsed="false" customWidth="true" hidden="false" outlineLevel="0" max="5651" min="5651" style="1" width="7.5"/>
    <col collapsed="false" customWidth="true" hidden="false" outlineLevel="0" max="5652" min="5652" style="1" width="7.62"/>
    <col collapsed="false" customWidth="true" hidden="false" outlineLevel="0" max="5655" min="5653" style="1" width="6"/>
    <col collapsed="false" customWidth="true" hidden="false" outlineLevel="0" max="5656" min="5656" style="1" width="6.12"/>
    <col collapsed="false" customWidth="true" hidden="false" outlineLevel="0" max="5659" min="5657" style="1" width="6"/>
    <col collapsed="false" customWidth="true" hidden="true" outlineLevel="0" max="5660" min="5660" style="1" width="10.49"/>
    <col collapsed="false" customWidth="true" hidden="false" outlineLevel="0" max="5666" min="5661" style="1" width="5.5"/>
    <col collapsed="false" customWidth="true" hidden="true" outlineLevel="0" max="5672" min="5667" style="1" width="10.49"/>
    <col collapsed="false" customWidth="true" hidden="false" outlineLevel="0" max="5673" min="5673" style="1" width="6.75"/>
    <col collapsed="false" customWidth="true" hidden="false" outlineLevel="0" max="5675" min="5674" style="1" width="6.25"/>
    <col collapsed="false" customWidth="true" hidden="false" outlineLevel="0" max="5676" min="5676" style="1" width="7.25"/>
    <col collapsed="false" customWidth="true" hidden="true" outlineLevel="0" max="5696" min="5677" style="1" width="10.49"/>
    <col collapsed="false" customWidth="true" hidden="false" outlineLevel="0" max="5697" min="5697" style="1" width="8.38"/>
    <col collapsed="false" customWidth="false" hidden="false" outlineLevel="0" max="5698" min="5698" style="1" width="8.88"/>
    <col collapsed="false" customWidth="true" hidden="false" outlineLevel="0" max="5706" min="5699" style="1" width="16.26"/>
    <col collapsed="false" customWidth="true" hidden="false" outlineLevel="0" max="5707" min="5707" style="1" width="21.88"/>
    <col collapsed="false" customWidth="true" hidden="false" outlineLevel="0" max="5709" min="5708" style="1" width="11.12"/>
    <col collapsed="false" customWidth="false" hidden="false" outlineLevel="0" max="5906" min="5710" style="1" width="8.88"/>
    <col collapsed="false" customWidth="true" hidden="false" outlineLevel="0" max="5907" min="5907" style="1" width="7.5"/>
    <col collapsed="false" customWidth="true" hidden="false" outlineLevel="0" max="5908" min="5908" style="1" width="7.62"/>
    <col collapsed="false" customWidth="true" hidden="false" outlineLevel="0" max="5911" min="5909" style="1" width="6"/>
    <col collapsed="false" customWidth="true" hidden="false" outlineLevel="0" max="5912" min="5912" style="1" width="6.12"/>
    <col collapsed="false" customWidth="true" hidden="false" outlineLevel="0" max="5915" min="5913" style="1" width="6"/>
    <col collapsed="false" customWidth="true" hidden="true" outlineLevel="0" max="5916" min="5916" style="1" width="10.49"/>
    <col collapsed="false" customWidth="true" hidden="false" outlineLevel="0" max="5922" min="5917" style="1" width="5.5"/>
    <col collapsed="false" customWidth="true" hidden="true" outlineLevel="0" max="5928" min="5923" style="1" width="10.49"/>
    <col collapsed="false" customWidth="true" hidden="false" outlineLevel="0" max="5929" min="5929" style="1" width="6.75"/>
    <col collapsed="false" customWidth="true" hidden="false" outlineLevel="0" max="5931" min="5930" style="1" width="6.25"/>
    <col collapsed="false" customWidth="true" hidden="false" outlineLevel="0" max="5932" min="5932" style="1" width="7.25"/>
    <col collapsed="false" customWidth="true" hidden="true" outlineLevel="0" max="5952" min="5933" style="1" width="10.49"/>
    <col collapsed="false" customWidth="true" hidden="false" outlineLevel="0" max="5953" min="5953" style="1" width="8.38"/>
    <col collapsed="false" customWidth="false" hidden="false" outlineLevel="0" max="5954" min="5954" style="1" width="8.88"/>
    <col collapsed="false" customWidth="true" hidden="false" outlineLevel="0" max="5962" min="5955" style="1" width="16.26"/>
    <col collapsed="false" customWidth="true" hidden="false" outlineLevel="0" max="5963" min="5963" style="1" width="21.88"/>
    <col collapsed="false" customWidth="true" hidden="false" outlineLevel="0" max="5965" min="5964" style="1" width="11.12"/>
    <col collapsed="false" customWidth="false" hidden="false" outlineLevel="0" max="6162" min="5966" style="1" width="8.88"/>
    <col collapsed="false" customWidth="true" hidden="false" outlineLevel="0" max="6163" min="6163" style="1" width="7.5"/>
    <col collapsed="false" customWidth="true" hidden="false" outlineLevel="0" max="6164" min="6164" style="1" width="7.62"/>
    <col collapsed="false" customWidth="true" hidden="false" outlineLevel="0" max="6167" min="6165" style="1" width="6"/>
    <col collapsed="false" customWidth="true" hidden="false" outlineLevel="0" max="6168" min="6168" style="1" width="6.12"/>
    <col collapsed="false" customWidth="true" hidden="false" outlineLevel="0" max="6171" min="6169" style="1" width="6"/>
    <col collapsed="false" customWidth="true" hidden="true" outlineLevel="0" max="6172" min="6172" style="1" width="10.49"/>
    <col collapsed="false" customWidth="true" hidden="false" outlineLevel="0" max="6178" min="6173" style="1" width="5.5"/>
    <col collapsed="false" customWidth="true" hidden="true" outlineLevel="0" max="6184" min="6179" style="1" width="10.49"/>
    <col collapsed="false" customWidth="true" hidden="false" outlineLevel="0" max="6185" min="6185" style="1" width="6.75"/>
    <col collapsed="false" customWidth="true" hidden="false" outlineLevel="0" max="6187" min="6186" style="1" width="6.25"/>
    <col collapsed="false" customWidth="true" hidden="false" outlineLevel="0" max="6188" min="6188" style="1" width="7.25"/>
    <col collapsed="false" customWidth="true" hidden="true" outlineLevel="0" max="6208" min="6189" style="1" width="10.49"/>
    <col collapsed="false" customWidth="true" hidden="false" outlineLevel="0" max="6209" min="6209" style="1" width="8.38"/>
    <col collapsed="false" customWidth="false" hidden="false" outlineLevel="0" max="6210" min="6210" style="1" width="8.88"/>
    <col collapsed="false" customWidth="true" hidden="false" outlineLevel="0" max="6218" min="6211" style="1" width="16.26"/>
    <col collapsed="false" customWidth="true" hidden="false" outlineLevel="0" max="6219" min="6219" style="1" width="21.88"/>
    <col collapsed="false" customWidth="true" hidden="false" outlineLevel="0" max="6221" min="6220" style="1" width="11.12"/>
    <col collapsed="false" customWidth="false" hidden="false" outlineLevel="0" max="6418" min="6222" style="1" width="8.88"/>
    <col collapsed="false" customWidth="true" hidden="false" outlineLevel="0" max="6419" min="6419" style="1" width="7.5"/>
    <col collapsed="false" customWidth="true" hidden="false" outlineLevel="0" max="6420" min="6420" style="1" width="7.62"/>
    <col collapsed="false" customWidth="true" hidden="false" outlineLevel="0" max="6423" min="6421" style="1" width="6"/>
    <col collapsed="false" customWidth="true" hidden="false" outlineLevel="0" max="6424" min="6424" style="1" width="6.12"/>
    <col collapsed="false" customWidth="true" hidden="false" outlineLevel="0" max="6427" min="6425" style="1" width="6"/>
    <col collapsed="false" customWidth="true" hidden="true" outlineLevel="0" max="6428" min="6428" style="1" width="10.49"/>
    <col collapsed="false" customWidth="true" hidden="false" outlineLevel="0" max="6434" min="6429" style="1" width="5.5"/>
    <col collapsed="false" customWidth="true" hidden="true" outlineLevel="0" max="6440" min="6435" style="1" width="10.49"/>
    <col collapsed="false" customWidth="true" hidden="false" outlineLevel="0" max="6441" min="6441" style="1" width="6.75"/>
    <col collapsed="false" customWidth="true" hidden="false" outlineLevel="0" max="6443" min="6442" style="1" width="6.25"/>
    <col collapsed="false" customWidth="true" hidden="false" outlineLevel="0" max="6444" min="6444" style="1" width="7.25"/>
    <col collapsed="false" customWidth="true" hidden="true" outlineLevel="0" max="6464" min="6445" style="1" width="10.49"/>
    <col collapsed="false" customWidth="true" hidden="false" outlineLevel="0" max="6465" min="6465" style="1" width="8.38"/>
    <col collapsed="false" customWidth="false" hidden="false" outlineLevel="0" max="6466" min="6466" style="1" width="8.88"/>
    <col collapsed="false" customWidth="true" hidden="false" outlineLevel="0" max="6474" min="6467" style="1" width="16.26"/>
    <col collapsed="false" customWidth="true" hidden="false" outlineLevel="0" max="6475" min="6475" style="1" width="21.88"/>
    <col collapsed="false" customWidth="true" hidden="false" outlineLevel="0" max="6477" min="6476" style="1" width="11.12"/>
    <col collapsed="false" customWidth="false" hidden="false" outlineLevel="0" max="6674" min="6478" style="1" width="8.88"/>
    <col collapsed="false" customWidth="true" hidden="false" outlineLevel="0" max="6675" min="6675" style="1" width="7.5"/>
    <col collapsed="false" customWidth="true" hidden="false" outlineLevel="0" max="6676" min="6676" style="1" width="7.62"/>
    <col collapsed="false" customWidth="true" hidden="false" outlineLevel="0" max="6679" min="6677" style="1" width="6"/>
    <col collapsed="false" customWidth="true" hidden="false" outlineLevel="0" max="6680" min="6680" style="1" width="6.12"/>
    <col collapsed="false" customWidth="true" hidden="false" outlineLevel="0" max="6683" min="6681" style="1" width="6"/>
    <col collapsed="false" customWidth="true" hidden="true" outlineLevel="0" max="6684" min="6684" style="1" width="10.49"/>
    <col collapsed="false" customWidth="true" hidden="false" outlineLevel="0" max="6690" min="6685" style="1" width="5.5"/>
    <col collapsed="false" customWidth="true" hidden="true" outlineLevel="0" max="6696" min="6691" style="1" width="10.49"/>
    <col collapsed="false" customWidth="true" hidden="false" outlineLevel="0" max="6697" min="6697" style="1" width="6.75"/>
    <col collapsed="false" customWidth="true" hidden="false" outlineLevel="0" max="6699" min="6698" style="1" width="6.25"/>
    <col collapsed="false" customWidth="true" hidden="false" outlineLevel="0" max="6700" min="6700" style="1" width="7.25"/>
    <col collapsed="false" customWidth="true" hidden="true" outlineLevel="0" max="6720" min="6701" style="1" width="10.49"/>
    <col collapsed="false" customWidth="true" hidden="false" outlineLevel="0" max="6721" min="6721" style="1" width="8.38"/>
    <col collapsed="false" customWidth="false" hidden="false" outlineLevel="0" max="6722" min="6722" style="1" width="8.88"/>
    <col collapsed="false" customWidth="true" hidden="false" outlineLevel="0" max="6730" min="6723" style="1" width="16.26"/>
    <col collapsed="false" customWidth="true" hidden="false" outlineLevel="0" max="6731" min="6731" style="1" width="21.88"/>
    <col collapsed="false" customWidth="true" hidden="false" outlineLevel="0" max="6733" min="6732" style="1" width="11.12"/>
    <col collapsed="false" customWidth="false" hidden="false" outlineLevel="0" max="6930" min="6734" style="1" width="8.88"/>
    <col collapsed="false" customWidth="true" hidden="false" outlineLevel="0" max="6931" min="6931" style="1" width="7.5"/>
    <col collapsed="false" customWidth="true" hidden="false" outlineLevel="0" max="6932" min="6932" style="1" width="7.62"/>
    <col collapsed="false" customWidth="true" hidden="false" outlineLevel="0" max="6935" min="6933" style="1" width="6"/>
    <col collapsed="false" customWidth="true" hidden="false" outlineLevel="0" max="6936" min="6936" style="1" width="6.12"/>
    <col collapsed="false" customWidth="true" hidden="false" outlineLevel="0" max="6939" min="6937" style="1" width="6"/>
    <col collapsed="false" customWidth="true" hidden="true" outlineLevel="0" max="6940" min="6940" style="1" width="10.49"/>
    <col collapsed="false" customWidth="true" hidden="false" outlineLevel="0" max="6946" min="6941" style="1" width="5.5"/>
    <col collapsed="false" customWidth="true" hidden="true" outlineLevel="0" max="6952" min="6947" style="1" width="10.49"/>
    <col collapsed="false" customWidth="true" hidden="false" outlineLevel="0" max="6953" min="6953" style="1" width="6.75"/>
    <col collapsed="false" customWidth="true" hidden="false" outlineLevel="0" max="6955" min="6954" style="1" width="6.25"/>
    <col collapsed="false" customWidth="true" hidden="false" outlineLevel="0" max="6956" min="6956" style="1" width="7.25"/>
    <col collapsed="false" customWidth="true" hidden="true" outlineLevel="0" max="6976" min="6957" style="1" width="10.49"/>
    <col collapsed="false" customWidth="true" hidden="false" outlineLevel="0" max="6977" min="6977" style="1" width="8.38"/>
    <col collapsed="false" customWidth="false" hidden="false" outlineLevel="0" max="6978" min="6978" style="1" width="8.88"/>
    <col collapsed="false" customWidth="true" hidden="false" outlineLevel="0" max="6986" min="6979" style="1" width="16.26"/>
    <col collapsed="false" customWidth="true" hidden="false" outlineLevel="0" max="6987" min="6987" style="1" width="21.88"/>
    <col collapsed="false" customWidth="true" hidden="false" outlineLevel="0" max="6989" min="6988" style="1" width="11.12"/>
    <col collapsed="false" customWidth="false" hidden="false" outlineLevel="0" max="7186" min="6990" style="1" width="8.88"/>
    <col collapsed="false" customWidth="true" hidden="false" outlineLevel="0" max="7187" min="7187" style="1" width="7.5"/>
    <col collapsed="false" customWidth="true" hidden="false" outlineLevel="0" max="7188" min="7188" style="1" width="7.62"/>
    <col collapsed="false" customWidth="true" hidden="false" outlineLevel="0" max="7191" min="7189" style="1" width="6"/>
    <col collapsed="false" customWidth="true" hidden="false" outlineLevel="0" max="7192" min="7192" style="1" width="6.12"/>
    <col collapsed="false" customWidth="true" hidden="false" outlineLevel="0" max="7195" min="7193" style="1" width="6"/>
    <col collapsed="false" customWidth="true" hidden="true" outlineLevel="0" max="7196" min="7196" style="1" width="10.49"/>
    <col collapsed="false" customWidth="true" hidden="false" outlineLevel="0" max="7202" min="7197" style="1" width="5.5"/>
    <col collapsed="false" customWidth="true" hidden="true" outlineLevel="0" max="7208" min="7203" style="1" width="10.49"/>
    <col collapsed="false" customWidth="true" hidden="false" outlineLevel="0" max="7209" min="7209" style="1" width="6.75"/>
    <col collapsed="false" customWidth="true" hidden="false" outlineLevel="0" max="7211" min="7210" style="1" width="6.25"/>
    <col collapsed="false" customWidth="true" hidden="false" outlineLevel="0" max="7212" min="7212" style="1" width="7.25"/>
    <col collapsed="false" customWidth="true" hidden="true" outlineLevel="0" max="7232" min="7213" style="1" width="10.49"/>
    <col collapsed="false" customWidth="true" hidden="false" outlineLevel="0" max="7233" min="7233" style="1" width="8.38"/>
    <col collapsed="false" customWidth="false" hidden="false" outlineLevel="0" max="7234" min="7234" style="1" width="8.88"/>
    <col collapsed="false" customWidth="true" hidden="false" outlineLevel="0" max="7242" min="7235" style="1" width="16.26"/>
    <col collapsed="false" customWidth="true" hidden="false" outlineLevel="0" max="7243" min="7243" style="1" width="21.88"/>
    <col collapsed="false" customWidth="true" hidden="false" outlineLevel="0" max="7245" min="7244" style="1" width="11.12"/>
    <col collapsed="false" customWidth="false" hidden="false" outlineLevel="0" max="7442" min="7246" style="1" width="8.88"/>
    <col collapsed="false" customWidth="true" hidden="false" outlineLevel="0" max="7443" min="7443" style="1" width="7.5"/>
    <col collapsed="false" customWidth="true" hidden="false" outlineLevel="0" max="7444" min="7444" style="1" width="7.62"/>
    <col collapsed="false" customWidth="true" hidden="false" outlineLevel="0" max="7447" min="7445" style="1" width="6"/>
    <col collapsed="false" customWidth="true" hidden="false" outlineLevel="0" max="7448" min="7448" style="1" width="6.12"/>
    <col collapsed="false" customWidth="true" hidden="false" outlineLevel="0" max="7451" min="7449" style="1" width="6"/>
    <col collapsed="false" customWidth="true" hidden="true" outlineLevel="0" max="7452" min="7452" style="1" width="10.49"/>
    <col collapsed="false" customWidth="true" hidden="false" outlineLevel="0" max="7458" min="7453" style="1" width="5.5"/>
    <col collapsed="false" customWidth="true" hidden="true" outlineLevel="0" max="7464" min="7459" style="1" width="10.49"/>
    <col collapsed="false" customWidth="true" hidden="false" outlineLevel="0" max="7465" min="7465" style="1" width="6.75"/>
    <col collapsed="false" customWidth="true" hidden="false" outlineLevel="0" max="7467" min="7466" style="1" width="6.25"/>
    <col collapsed="false" customWidth="true" hidden="false" outlineLevel="0" max="7468" min="7468" style="1" width="7.25"/>
    <col collapsed="false" customWidth="true" hidden="true" outlineLevel="0" max="7488" min="7469" style="1" width="10.49"/>
    <col collapsed="false" customWidth="true" hidden="false" outlineLevel="0" max="7489" min="7489" style="1" width="8.38"/>
    <col collapsed="false" customWidth="false" hidden="false" outlineLevel="0" max="7490" min="7490" style="1" width="8.88"/>
    <col collapsed="false" customWidth="true" hidden="false" outlineLevel="0" max="7498" min="7491" style="1" width="16.26"/>
    <col collapsed="false" customWidth="true" hidden="false" outlineLevel="0" max="7499" min="7499" style="1" width="21.88"/>
    <col collapsed="false" customWidth="true" hidden="false" outlineLevel="0" max="7501" min="7500" style="1" width="11.12"/>
    <col collapsed="false" customWidth="false" hidden="false" outlineLevel="0" max="7698" min="7502" style="1" width="8.88"/>
    <col collapsed="false" customWidth="true" hidden="false" outlineLevel="0" max="7699" min="7699" style="1" width="7.5"/>
    <col collapsed="false" customWidth="true" hidden="false" outlineLevel="0" max="7700" min="7700" style="1" width="7.62"/>
    <col collapsed="false" customWidth="true" hidden="false" outlineLevel="0" max="7703" min="7701" style="1" width="6"/>
    <col collapsed="false" customWidth="true" hidden="false" outlineLevel="0" max="7704" min="7704" style="1" width="6.12"/>
    <col collapsed="false" customWidth="true" hidden="false" outlineLevel="0" max="7707" min="7705" style="1" width="6"/>
    <col collapsed="false" customWidth="true" hidden="true" outlineLevel="0" max="7708" min="7708" style="1" width="10.49"/>
    <col collapsed="false" customWidth="true" hidden="false" outlineLevel="0" max="7714" min="7709" style="1" width="5.5"/>
    <col collapsed="false" customWidth="true" hidden="true" outlineLevel="0" max="7720" min="7715" style="1" width="10.49"/>
    <col collapsed="false" customWidth="true" hidden="false" outlineLevel="0" max="7721" min="7721" style="1" width="6.75"/>
    <col collapsed="false" customWidth="true" hidden="false" outlineLevel="0" max="7723" min="7722" style="1" width="6.25"/>
    <col collapsed="false" customWidth="true" hidden="false" outlineLevel="0" max="7724" min="7724" style="1" width="7.25"/>
    <col collapsed="false" customWidth="true" hidden="true" outlineLevel="0" max="7744" min="7725" style="1" width="10.49"/>
    <col collapsed="false" customWidth="true" hidden="false" outlineLevel="0" max="7745" min="7745" style="1" width="8.38"/>
    <col collapsed="false" customWidth="false" hidden="false" outlineLevel="0" max="7746" min="7746" style="1" width="8.88"/>
    <col collapsed="false" customWidth="true" hidden="false" outlineLevel="0" max="7754" min="7747" style="1" width="16.26"/>
    <col collapsed="false" customWidth="true" hidden="false" outlineLevel="0" max="7755" min="7755" style="1" width="21.88"/>
    <col collapsed="false" customWidth="true" hidden="false" outlineLevel="0" max="7757" min="7756" style="1" width="11.12"/>
    <col collapsed="false" customWidth="false" hidden="false" outlineLevel="0" max="7954" min="7758" style="1" width="8.88"/>
    <col collapsed="false" customWidth="true" hidden="false" outlineLevel="0" max="7955" min="7955" style="1" width="7.5"/>
    <col collapsed="false" customWidth="true" hidden="false" outlineLevel="0" max="7956" min="7956" style="1" width="7.62"/>
    <col collapsed="false" customWidth="true" hidden="false" outlineLevel="0" max="7959" min="7957" style="1" width="6"/>
    <col collapsed="false" customWidth="true" hidden="false" outlineLevel="0" max="7960" min="7960" style="1" width="6.12"/>
    <col collapsed="false" customWidth="true" hidden="false" outlineLevel="0" max="7963" min="7961" style="1" width="6"/>
    <col collapsed="false" customWidth="true" hidden="true" outlineLevel="0" max="7964" min="7964" style="1" width="10.49"/>
    <col collapsed="false" customWidth="true" hidden="false" outlineLevel="0" max="7970" min="7965" style="1" width="5.5"/>
    <col collapsed="false" customWidth="true" hidden="true" outlineLevel="0" max="7976" min="7971" style="1" width="10.49"/>
    <col collapsed="false" customWidth="true" hidden="false" outlineLevel="0" max="7977" min="7977" style="1" width="6.75"/>
    <col collapsed="false" customWidth="true" hidden="false" outlineLevel="0" max="7979" min="7978" style="1" width="6.25"/>
    <col collapsed="false" customWidth="true" hidden="false" outlineLevel="0" max="7980" min="7980" style="1" width="7.25"/>
    <col collapsed="false" customWidth="true" hidden="true" outlineLevel="0" max="8000" min="7981" style="1" width="10.49"/>
    <col collapsed="false" customWidth="true" hidden="false" outlineLevel="0" max="8001" min="8001" style="1" width="8.38"/>
    <col collapsed="false" customWidth="false" hidden="false" outlineLevel="0" max="8002" min="8002" style="1" width="8.88"/>
    <col collapsed="false" customWidth="true" hidden="false" outlineLevel="0" max="8010" min="8003" style="1" width="16.26"/>
    <col collapsed="false" customWidth="true" hidden="false" outlineLevel="0" max="8011" min="8011" style="1" width="21.88"/>
    <col collapsed="false" customWidth="true" hidden="false" outlineLevel="0" max="8013" min="8012" style="1" width="11.12"/>
    <col collapsed="false" customWidth="false" hidden="false" outlineLevel="0" max="8210" min="8014" style="1" width="8.88"/>
    <col collapsed="false" customWidth="true" hidden="false" outlineLevel="0" max="8211" min="8211" style="1" width="7.5"/>
    <col collapsed="false" customWidth="true" hidden="false" outlineLevel="0" max="8212" min="8212" style="1" width="7.62"/>
    <col collapsed="false" customWidth="true" hidden="false" outlineLevel="0" max="8215" min="8213" style="1" width="6"/>
    <col collapsed="false" customWidth="true" hidden="false" outlineLevel="0" max="8216" min="8216" style="1" width="6.12"/>
    <col collapsed="false" customWidth="true" hidden="false" outlineLevel="0" max="8219" min="8217" style="1" width="6"/>
    <col collapsed="false" customWidth="true" hidden="true" outlineLevel="0" max="8220" min="8220" style="1" width="10.49"/>
    <col collapsed="false" customWidth="true" hidden="false" outlineLevel="0" max="8226" min="8221" style="1" width="5.5"/>
    <col collapsed="false" customWidth="true" hidden="true" outlineLevel="0" max="8232" min="8227" style="1" width="10.49"/>
    <col collapsed="false" customWidth="true" hidden="false" outlineLevel="0" max="8233" min="8233" style="1" width="6.75"/>
    <col collapsed="false" customWidth="true" hidden="false" outlineLevel="0" max="8235" min="8234" style="1" width="6.25"/>
    <col collapsed="false" customWidth="true" hidden="false" outlineLevel="0" max="8236" min="8236" style="1" width="7.25"/>
    <col collapsed="false" customWidth="true" hidden="true" outlineLevel="0" max="8256" min="8237" style="1" width="10.49"/>
    <col collapsed="false" customWidth="true" hidden="false" outlineLevel="0" max="8257" min="8257" style="1" width="8.38"/>
    <col collapsed="false" customWidth="false" hidden="false" outlineLevel="0" max="8258" min="8258" style="1" width="8.88"/>
    <col collapsed="false" customWidth="true" hidden="false" outlineLevel="0" max="8266" min="8259" style="1" width="16.26"/>
    <col collapsed="false" customWidth="true" hidden="false" outlineLevel="0" max="8267" min="8267" style="1" width="21.88"/>
    <col collapsed="false" customWidth="true" hidden="false" outlineLevel="0" max="8269" min="8268" style="1" width="11.12"/>
    <col collapsed="false" customWidth="false" hidden="false" outlineLevel="0" max="8466" min="8270" style="1" width="8.88"/>
    <col collapsed="false" customWidth="true" hidden="false" outlineLevel="0" max="8467" min="8467" style="1" width="7.5"/>
    <col collapsed="false" customWidth="true" hidden="false" outlineLevel="0" max="8468" min="8468" style="1" width="7.62"/>
    <col collapsed="false" customWidth="true" hidden="false" outlineLevel="0" max="8471" min="8469" style="1" width="6"/>
    <col collapsed="false" customWidth="true" hidden="false" outlineLevel="0" max="8472" min="8472" style="1" width="6.12"/>
    <col collapsed="false" customWidth="true" hidden="false" outlineLevel="0" max="8475" min="8473" style="1" width="6"/>
    <col collapsed="false" customWidth="true" hidden="true" outlineLevel="0" max="8476" min="8476" style="1" width="10.49"/>
    <col collapsed="false" customWidth="true" hidden="false" outlineLevel="0" max="8482" min="8477" style="1" width="5.5"/>
    <col collapsed="false" customWidth="true" hidden="true" outlineLevel="0" max="8488" min="8483" style="1" width="10.49"/>
    <col collapsed="false" customWidth="true" hidden="false" outlineLevel="0" max="8489" min="8489" style="1" width="6.75"/>
    <col collapsed="false" customWidth="true" hidden="false" outlineLevel="0" max="8491" min="8490" style="1" width="6.25"/>
    <col collapsed="false" customWidth="true" hidden="false" outlineLevel="0" max="8492" min="8492" style="1" width="7.25"/>
    <col collapsed="false" customWidth="true" hidden="true" outlineLevel="0" max="8512" min="8493" style="1" width="10.49"/>
    <col collapsed="false" customWidth="true" hidden="false" outlineLevel="0" max="8513" min="8513" style="1" width="8.38"/>
    <col collapsed="false" customWidth="false" hidden="false" outlineLevel="0" max="8514" min="8514" style="1" width="8.88"/>
    <col collapsed="false" customWidth="true" hidden="false" outlineLevel="0" max="8522" min="8515" style="1" width="16.26"/>
    <col collapsed="false" customWidth="true" hidden="false" outlineLevel="0" max="8523" min="8523" style="1" width="21.88"/>
    <col collapsed="false" customWidth="true" hidden="false" outlineLevel="0" max="8525" min="8524" style="1" width="11.12"/>
    <col collapsed="false" customWidth="false" hidden="false" outlineLevel="0" max="8722" min="8526" style="1" width="8.88"/>
    <col collapsed="false" customWidth="true" hidden="false" outlineLevel="0" max="8723" min="8723" style="1" width="7.5"/>
    <col collapsed="false" customWidth="true" hidden="false" outlineLevel="0" max="8724" min="8724" style="1" width="7.62"/>
    <col collapsed="false" customWidth="true" hidden="false" outlineLevel="0" max="8727" min="8725" style="1" width="6"/>
    <col collapsed="false" customWidth="true" hidden="false" outlineLevel="0" max="8728" min="8728" style="1" width="6.12"/>
    <col collapsed="false" customWidth="true" hidden="false" outlineLevel="0" max="8731" min="8729" style="1" width="6"/>
    <col collapsed="false" customWidth="true" hidden="true" outlineLevel="0" max="8732" min="8732" style="1" width="10.49"/>
    <col collapsed="false" customWidth="true" hidden="false" outlineLevel="0" max="8738" min="8733" style="1" width="5.5"/>
    <col collapsed="false" customWidth="true" hidden="true" outlineLevel="0" max="8744" min="8739" style="1" width="10.49"/>
    <col collapsed="false" customWidth="true" hidden="false" outlineLevel="0" max="8745" min="8745" style="1" width="6.75"/>
    <col collapsed="false" customWidth="true" hidden="false" outlineLevel="0" max="8747" min="8746" style="1" width="6.25"/>
    <col collapsed="false" customWidth="true" hidden="false" outlineLevel="0" max="8748" min="8748" style="1" width="7.25"/>
    <col collapsed="false" customWidth="true" hidden="true" outlineLevel="0" max="8768" min="8749" style="1" width="10.49"/>
    <col collapsed="false" customWidth="true" hidden="false" outlineLevel="0" max="8769" min="8769" style="1" width="8.38"/>
    <col collapsed="false" customWidth="false" hidden="false" outlineLevel="0" max="8770" min="8770" style="1" width="8.88"/>
    <col collapsed="false" customWidth="true" hidden="false" outlineLevel="0" max="8778" min="8771" style="1" width="16.26"/>
    <col collapsed="false" customWidth="true" hidden="false" outlineLevel="0" max="8779" min="8779" style="1" width="21.88"/>
    <col collapsed="false" customWidth="true" hidden="false" outlineLevel="0" max="8781" min="8780" style="1" width="11.12"/>
    <col collapsed="false" customWidth="false" hidden="false" outlineLevel="0" max="8978" min="8782" style="1" width="8.88"/>
    <col collapsed="false" customWidth="true" hidden="false" outlineLevel="0" max="8979" min="8979" style="1" width="7.5"/>
    <col collapsed="false" customWidth="true" hidden="false" outlineLevel="0" max="8980" min="8980" style="1" width="7.62"/>
    <col collapsed="false" customWidth="true" hidden="false" outlineLevel="0" max="8983" min="8981" style="1" width="6"/>
    <col collapsed="false" customWidth="true" hidden="false" outlineLevel="0" max="8984" min="8984" style="1" width="6.12"/>
    <col collapsed="false" customWidth="true" hidden="false" outlineLevel="0" max="8987" min="8985" style="1" width="6"/>
    <col collapsed="false" customWidth="true" hidden="true" outlineLevel="0" max="8988" min="8988" style="1" width="10.49"/>
    <col collapsed="false" customWidth="true" hidden="false" outlineLevel="0" max="8994" min="8989" style="1" width="5.5"/>
    <col collapsed="false" customWidth="true" hidden="true" outlineLevel="0" max="9000" min="8995" style="1" width="10.49"/>
    <col collapsed="false" customWidth="true" hidden="false" outlineLevel="0" max="9001" min="9001" style="1" width="6.75"/>
    <col collapsed="false" customWidth="true" hidden="false" outlineLevel="0" max="9003" min="9002" style="1" width="6.25"/>
    <col collapsed="false" customWidth="true" hidden="false" outlineLevel="0" max="9004" min="9004" style="1" width="7.25"/>
    <col collapsed="false" customWidth="true" hidden="true" outlineLevel="0" max="9024" min="9005" style="1" width="10.49"/>
    <col collapsed="false" customWidth="true" hidden="false" outlineLevel="0" max="9025" min="9025" style="1" width="8.38"/>
    <col collapsed="false" customWidth="false" hidden="false" outlineLevel="0" max="9026" min="9026" style="1" width="8.88"/>
    <col collapsed="false" customWidth="true" hidden="false" outlineLevel="0" max="9034" min="9027" style="1" width="16.26"/>
    <col collapsed="false" customWidth="true" hidden="false" outlineLevel="0" max="9035" min="9035" style="1" width="21.88"/>
    <col collapsed="false" customWidth="true" hidden="false" outlineLevel="0" max="9037" min="9036" style="1" width="11.12"/>
    <col collapsed="false" customWidth="false" hidden="false" outlineLevel="0" max="9234" min="9038" style="1" width="8.88"/>
    <col collapsed="false" customWidth="true" hidden="false" outlineLevel="0" max="9235" min="9235" style="1" width="7.5"/>
    <col collapsed="false" customWidth="true" hidden="false" outlineLevel="0" max="9236" min="9236" style="1" width="7.62"/>
    <col collapsed="false" customWidth="true" hidden="false" outlineLevel="0" max="9239" min="9237" style="1" width="6"/>
    <col collapsed="false" customWidth="true" hidden="false" outlineLevel="0" max="9240" min="9240" style="1" width="6.12"/>
    <col collapsed="false" customWidth="true" hidden="false" outlineLevel="0" max="9243" min="9241" style="1" width="6"/>
    <col collapsed="false" customWidth="true" hidden="true" outlineLevel="0" max="9244" min="9244" style="1" width="10.49"/>
    <col collapsed="false" customWidth="true" hidden="false" outlineLevel="0" max="9250" min="9245" style="1" width="5.5"/>
    <col collapsed="false" customWidth="true" hidden="true" outlineLevel="0" max="9256" min="9251" style="1" width="10.49"/>
    <col collapsed="false" customWidth="true" hidden="false" outlineLevel="0" max="9257" min="9257" style="1" width="6.75"/>
    <col collapsed="false" customWidth="true" hidden="false" outlineLevel="0" max="9259" min="9258" style="1" width="6.25"/>
    <col collapsed="false" customWidth="true" hidden="false" outlineLevel="0" max="9260" min="9260" style="1" width="7.25"/>
    <col collapsed="false" customWidth="true" hidden="true" outlineLevel="0" max="9280" min="9261" style="1" width="10.49"/>
    <col collapsed="false" customWidth="true" hidden="false" outlineLevel="0" max="9281" min="9281" style="1" width="8.38"/>
    <col collapsed="false" customWidth="false" hidden="false" outlineLevel="0" max="9282" min="9282" style="1" width="8.88"/>
    <col collapsed="false" customWidth="true" hidden="false" outlineLevel="0" max="9290" min="9283" style="1" width="16.26"/>
    <col collapsed="false" customWidth="true" hidden="false" outlineLevel="0" max="9291" min="9291" style="1" width="21.88"/>
    <col collapsed="false" customWidth="true" hidden="false" outlineLevel="0" max="9293" min="9292" style="1" width="11.12"/>
    <col collapsed="false" customWidth="false" hidden="false" outlineLevel="0" max="9490" min="9294" style="1" width="8.88"/>
    <col collapsed="false" customWidth="true" hidden="false" outlineLevel="0" max="9491" min="9491" style="1" width="7.5"/>
    <col collapsed="false" customWidth="true" hidden="false" outlineLevel="0" max="9492" min="9492" style="1" width="7.62"/>
    <col collapsed="false" customWidth="true" hidden="false" outlineLevel="0" max="9495" min="9493" style="1" width="6"/>
    <col collapsed="false" customWidth="true" hidden="false" outlineLevel="0" max="9496" min="9496" style="1" width="6.12"/>
    <col collapsed="false" customWidth="true" hidden="false" outlineLevel="0" max="9499" min="9497" style="1" width="6"/>
    <col collapsed="false" customWidth="true" hidden="true" outlineLevel="0" max="9500" min="9500" style="1" width="10.49"/>
    <col collapsed="false" customWidth="true" hidden="false" outlineLevel="0" max="9506" min="9501" style="1" width="5.5"/>
    <col collapsed="false" customWidth="true" hidden="true" outlineLevel="0" max="9512" min="9507" style="1" width="10.49"/>
    <col collapsed="false" customWidth="true" hidden="false" outlineLevel="0" max="9513" min="9513" style="1" width="6.75"/>
    <col collapsed="false" customWidth="true" hidden="false" outlineLevel="0" max="9515" min="9514" style="1" width="6.25"/>
    <col collapsed="false" customWidth="true" hidden="false" outlineLevel="0" max="9516" min="9516" style="1" width="7.25"/>
    <col collapsed="false" customWidth="true" hidden="true" outlineLevel="0" max="9536" min="9517" style="1" width="10.49"/>
    <col collapsed="false" customWidth="true" hidden="false" outlineLevel="0" max="9537" min="9537" style="1" width="8.38"/>
    <col collapsed="false" customWidth="false" hidden="false" outlineLevel="0" max="9538" min="9538" style="1" width="8.88"/>
    <col collapsed="false" customWidth="true" hidden="false" outlineLevel="0" max="9546" min="9539" style="1" width="16.26"/>
    <col collapsed="false" customWidth="true" hidden="false" outlineLevel="0" max="9547" min="9547" style="1" width="21.88"/>
    <col collapsed="false" customWidth="true" hidden="false" outlineLevel="0" max="9549" min="9548" style="1" width="11.12"/>
    <col collapsed="false" customWidth="false" hidden="false" outlineLevel="0" max="9746" min="9550" style="1" width="8.88"/>
    <col collapsed="false" customWidth="true" hidden="false" outlineLevel="0" max="9747" min="9747" style="1" width="7.5"/>
    <col collapsed="false" customWidth="true" hidden="false" outlineLevel="0" max="9748" min="9748" style="1" width="7.62"/>
    <col collapsed="false" customWidth="true" hidden="false" outlineLevel="0" max="9751" min="9749" style="1" width="6"/>
    <col collapsed="false" customWidth="true" hidden="false" outlineLevel="0" max="9752" min="9752" style="1" width="6.12"/>
    <col collapsed="false" customWidth="true" hidden="false" outlineLevel="0" max="9755" min="9753" style="1" width="6"/>
    <col collapsed="false" customWidth="true" hidden="true" outlineLevel="0" max="9756" min="9756" style="1" width="10.49"/>
    <col collapsed="false" customWidth="true" hidden="false" outlineLevel="0" max="9762" min="9757" style="1" width="5.5"/>
    <col collapsed="false" customWidth="true" hidden="true" outlineLevel="0" max="9768" min="9763" style="1" width="10.49"/>
    <col collapsed="false" customWidth="true" hidden="false" outlineLevel="0" max="9769" min="9769" style="1" width="6.75"/>
    <col collapsed="false" customWidth="true" hidden="false" outlineLevel="0" max="9771" min="9770" style="1" width="6.25"/>
    <col collapsed="false" customWidth="true" hidden="false" outlineLevel="0" max="9772" min="9772" style="1" width="7.25"/>
    <col collapsed="false" customWidth="true" hidden="true" outlineLevel="0" max="9792" min="9773" style="1" width="10.49"/>
    <col collapsed="false" customWidth="true" hidden="false" outlineLevel="0" max="9793" min="9793" style="1" width="8.38"/>
    <col collapsed="false" customWidth="false" hidden="false" outlineLevel="0" max="9794" min="9794" style="1" width="8.88"/>
    <col collapsed="false" customWidth="true" hidden="false" outlineLevel="0" max="9802" min="9795" style="1" width="16.26"/>
    <col collapsed="false" customWidth="true" hidden="false" outlineLevel="0" max="9803" min="9803" style="1" width="21.88"/>
    <col collapsed="false" customWidth="true" hidden="false" outlineLevel="0" max="9805" min="9804" style="1" width="11.12"/>
    <col collapsed="false" customWidth="false" hidden="false" outlineLevel="0" max="10002" min="9806" style="1" width="8.88"/>
    <col collapsed="false" customWidth="true" hidden="false" outlineLevel="0" max="10003" min="10003" style="1" width="7.5"/>
    <col collapsed="false" customWidth="true" hidden="false" outlineLevel="0" max="10004" min="10004" style="1" width="7.62"/>
    <col collapsed="false" customWidth="true" hidden="false" outlineLevel="0" max="10007" min="10005" style="1" width="6"/>
    <col collapsed="false" customWidth="true" hidden="false" outlineLevel="0" max="10008" min="10008" style="1" width="6.12"/>
    <col collapsed="false" customWidth="true" hidden="false" outlineLevel="0" max="10011" min="10009" style="1" width="6"/>
    <col collapsed="false" customWidth="true" hidden="true" outlineLevel="0" max="10012" min="10012" style="1" width="10.49"/>
    <col collapsed="false" customWidth="true" hidden="false" outlineLevel="0" max="10018" min="10013" style="1" width="5.5"/>
    <col collapsed="false" customWidth="true" hidden="true" outlineLevel="0" max="10024" min="10019" style="1" width="10.49"/>
    <col collapsed="false" customWidth="true" hidden="false" outlineLevel="0" max="10025" min="10025" style="1" width="6.75"/>
    <col collapsed="false" customWidth="true" hidden="false" outlineLevel="0" max="10027" min="10026" style="1" width="6.25"/>
    <col collapsed="false" customWidth="true" hidden="false" outlineLevel="0" max="10028" min="10028" style="1" width="7.25"/>
    <col collapsed="false" customWidth="true" hidden="true" outlineLevel="0" max="10048" min="10029" style="1" width="10.49"/>
    <col collapsed="false" customWidth="true" hidden="false" outlineLevel="0" max="10049" min="10049" style="1" width="8.38"/>
    <col collapsed="false" customWidth="false" hidden="false" outlineLevel="0" max="10050" min="10050" style="1" width="8.88"/>
    <col collapsed="false" customWidth="true" hidden="false" outlineLevel="0" max="10058" min="10051" style="1" width="16.26"/>
    <col collapsed="false" customWidth="true" hidden="false" outlineLevel="0" max="10059" min="10059" style="1" width="21.88"/>
    <col collapsed="false" customWidth="true" hidden="false" outlineLevel="0" max="10061" min="10060" style="1" width="11.12"/>
    <col collapsed="false" customWidth="false" hidden="false" outlineLevel="0" max="10258" min="10062" style="1" width="8.88"/>
    <col collapsed="false" customWidth="true" hidden="false" outlineLevel="0" max="10259" min="10259" style="1" width="7.5"/>
    <col collapsed="false" customWidth="true" hidden="false" outlineLevel="0" max="10260" min="10260" style="1" width="7.62"/>
    <col collapsed="false" customWidth="true" hidden="false" outlineLevel="0" max="10263" min="10261" style="1" width="6"/>
    <col collapsed="false" customWidth="true" hidden="false" outlineLevel="0" max="10264" min="10264" style="1" width="6.12"/>
    <col collapsed="false" customWidth="true" hidden="false" outlineLevel="0" max="10267" min="10265" style="1" width="6"/>
    <col collapsed="false" customWidth="true" hidden="true" outlineLevel="0" max="10268" min="10268" style="1" width="10.49"/>
    <col collapsed="false" customWidth="true" hidden="false" outlineLevel="0" max="10274" min="10269" style="1" width="5.5"/>
    <col collapsed="false" customWidth="true" hidden="true" outlineLevel="0" max="10280" min="10275" style="1" width="10.49"/>
    <col collapsed="false" customWidth="true" hidden="false" outlineLevel="0" max="10281" min="10281" style="1" width="6.75"/>
    <col collapsed="false" customWidth="true" hidden="false" outlineLevel="0" max="10283" min="10282" style="1" width="6.25"/>
    <col collapsed="false" customWidth="true" hidden="false" outlineLevel="0" max="10284" min="10284" style="1" width="7.25"/>
    <col collapsed="false" customWidth="true" hidden="true" outlineLevel="0" max="10304" min="10285" style="1" width="10.49"/>
    <col collapsed="false" customWidth="true" hidden="false" outlineLevel="0" max="10305" min="10305" style="1" width="8.38"/>
    <col collapsed="false" customWidth="false" hidden="false" outlineLevel="0" max="10306" min="10306" style="1" width="8.88"/>
    <col collapsed="false" customWidth="true" hidden="false" outlineLevel="0" max="10314" min="10307" style="1" width="16.26"/>
    <col collapsed="false" customWidth="true" hidden="false" outlineLevel="0" max="10315" min="10315" style="1" width="21.88"/>
    <col collapsed="false" customWidth="true" hidden="false" outlineLevel="0" max="10317" min="10316" style="1" width="11.12"/>
    <col collapsed="false" customWidth="false" hidden="false" outlineLevel="0" max="10514" min="10318" style="1" width="8.88"/>
    <col collapsed="false" customWidth="true" hidden="false" outlineLevel="0" max="10515" min="10515" style="1" width="7.5"/>
    <col collapsed="false" customWidth="true" hidden="false" outlineLevel="0" max="10516" min="10516" style="1" width="7.62"/>
    <col collapsed="false" customWidth="true" hidden="false" outlineLevel="0" max="10519" min="10517" style="1" width="6"/>
    <col collapsed="false" customWidth="true" hidden="false" outlineLevel="0" max="10520" min="10520" style="1" width="6.12"/>
    <col collapsed="false" customWidth="true" hidden="false" outlineLevel="0" max="10523" min="10521" style="1" width="6"/>
    <col collapsed="false" customWidth="true" hidden="true" outlineLevel="0" max="10524" min="10524" style="1" width="10.49"/>
    <col collapsed="false" customWidth="true" hidden="false" outlineLevel="0" max="10530" min="10525" style="1" width="5.5"/>
    <col collapsed="false" customWidth="true" hidden="true" outlineLevel="0" max="10536" min="10531" style="1" width="10.49"/>
    <col collapsed="false" customWidth="true" hidden="false" outlineLevel="0" max="10537" min="10537" style="1" width="6.75"/>
    <col collapsed="false" customWidth="true" hidden="false" outlineLevel="0" max="10539" min="10538" style="1" width="6.25"/>
    <col collapsed="false" customWidth="true" hidden="false" outlineLevel="0" max="10540" min="10540" style="1" width="7.25"/>
    <col collapsed="false" customWidth="true" hidden="true" outlineLevel="0" max="10560" min="10541" style="1" width="10.49"/>
    <col collapsed="false" customWidth="true" hidden="false" outlineLevel="0" max="10561" min="10561" style="1" width="8.38"/>
    <col collapsed="false" customWidth="false" hidden="false" outlineLevel="0" max="10562" min="10562" style="1" width="8.88"/>
    <col collapsed="false" customWidth="true" hidden="false" outlineLevel="0" max="10570" min="10563" style="1" width="16.26"/>
    <col collapsed="false" customWidth="true" hidden="false" outlineLevel="0" max="10571" min="10571" style="1" width="21.88"/>
    <col collapsed="false" customWidth="true" hidden="false" outlineLevel="0" max="10573" min="10572" style="1" width="11.12"/>
    <col collapsed="false" customWidth="false" hidden="false" outlineLevel="0" max="10770" min="10574" style="1" width="8.88"/>
    <col collapsed="false" customWidth="true" hidden="false" outlineLevel="0" max="10771" min="10771" style="1" width="7.5"/>
    <col collapsed="false" customWidth="true" hidden="false" outlineLevel="0" max="10772" min="10772" style="1" width="7.62"/>
    <col collapsed="false" customWidth="true" hidden="false" outlineLevel="0" max="10775" min="10773" style="1" width="6"/>
    <col collapsed="false" customWidth="true" hidden="false" outlineLevel="0" max="10776" min="10776" style="1" width="6.12"/>
    <col collapsed="false" customWidth="true" hidden="false" outlineLevel="0" max="10779" min="10777" style="1" width="6"/>
    <col collapsed="false" customWidth="true" hidden="true" outlineLevel="0" max="10780" min="10780" style="1" width="10.49"/>
    <col collapsed="false" customWidth="true" hidden="false" outlineLevel="0" max="10786" min="10781" style="1" width="5.5"/>
    <col collapsed="false" customWidth="true" hidden="true" outlineLevel="0" max="10792" min="10787" style="1" width="10.49"/>
    <col collapsed="false" customWidth="true" hidden="false" outlineLevel="0" max="10793" min="10793" style="1" width="6.75"/>
    <col collapsed="false" customWidth="true" hidden="false" outlineLevel="0" max="10795" min="10794" style="1" width="6.25"/>
    <col collapsed="false" customWidth="true" hidden="false" outlineLevel="0" max="10796" min="10796" style="1" width="7.25"/>
    <col collapsed="false" customWidth="true" hidden="true" outlineLevel="0" max="10816" min="10797" style="1" width="10.49"/>
    <col collapsed="false" customWidth="true" hidden="false" outlineLevel="0" max="10817" min="10817" style="1" width="8.38"/>
    <col collapsed="false" customWidth="false" hidden="false" outlineLevel="0" max="10818" min="10818" style="1" width="8.88"/>
    <col collapsed="false" customWidth="true" hidden="false" outlineLevel="0" max="10826" min="10819" style="1" width="16.26"/>
    <col collapsed="false" customWidth="true" hidden="false" outlineLevel="0" max="10827" min="10827" style="1" width="21.88"/>
    <col collapsed="false" customWidth="true" hidden="false" outlineLevel="0" max="10829" min="10828" style="1" width="11.12"/>
    <col collapsed="false" customWidth="false" hidden="false" outlineLevel="0" max="11026" min="10830" style="1" width="8.88"/>
    <col collapsed="false" customWidth="true" hidden="false" outlineLevel="0" max="11027" min="11027" style="1" width="7.5"/>
    <col collapsed="false" customWidth="true" hidden="false" outlineLevel="0" max="11028" min="11028" style="1" width="7.62"/>
    <col collapsed="false" customWidth="true" hidden="false" outlineLevel="0" max="11031" min="11029" style="1" width="6"/>
    <col collapsed="false" customWidth="true" hidden="false" outlineLevel="0" max="11032" min="11032" style="1" width="6.12"/>
    <col collapsed="false" customWidth="true" hidden="false" outlineLevel="0" max="11035" min="11033" style="1" width="6"/>
    <col collapsed="false" customWidth="true" hidden="true" outlineLevel="0" max="11036" min="11036" style="1" width="10.49"/>
    <col collapsed="false" customWidth="true" hidden="false" outlineLevel="0" max="11042" min="11037" style="1" width="5.5"/>
    <col collapsed="false" customWidth="true" hidden="true" outlineLevel="0" max="11048" min="11043" style="1" width="10.49"/>
    <col collapsed="false" customWidth="true" hidden="false" outlineLevel="0" max="11049" min="11049" style="1" width="6.75"/>
    <col collapsed="false" customWidth="true" hidden="false" outlineLevel="0" max="11051" min="11050" style="1" width="6.25"/>
    <col collapsed="false" customWidth="true" hidden="false" outlineLevel="0" max="11052" min="11052" style="1" width="7.25"/>
    <col collapsed="false" customWidth="true" hidden="true" outlineLevel="0" max="11072" min="11053" style="1" width="10.49"/>
    <col collapsed="false" customWidth="true" hidden="false" outlineLevel="0" max="11073" min="11073" style="1" width="8.38"/>
    <col collapsed="false" customWidth="false" hidden="false" outlineLevel="0" max="11074" min="11074" style="1" width="8.88"/>
    <col collapsed="false" customWidth="true" hidden="false" outlineLevel="0" max="11082" min="11075" style="1" width="16.26"/>
    <col collapsed="false" customWidth="true" hidden="false" outlineLevel="0" max="11083" min="11083" style="1" width="21.88"/>
    <col collapsed="false" customWidth="true" hidden="false" outlineLevel="0" max="11085" min="11084" style="1" width="11.12"/>
    <col collapsed="false" customWidth="false" hidden="false" outlineLevel="0" max="11282" min="11086" style="1" width="8.88"/>
    <col collapsed="false" customWidth="true" hidden="false" outlineLevel="0" max="11283" min="11283" style="1" width="7.5"/>
    <col collapsed="false" customWidth="true" hidden="false" outlineLevel="0" max="11284" min="11284" style="1" width="7.62"/>
    <col collapsed="false" customWidth="true" hidden="false" outlineLevel="0" max="11287" min="11285" style="1" width="6"/>
    <col collapsed="false" customWidth="true" hidden="false" outlineLevel="0" max="11288" min="11288" style="1" width="6.12"/>
    <col collapsed="false" customWidth="true" hidden="false" outlineLevel="0" max="11291" min="11289" style="1" width="6"/>
    <col collapsed="false" customWidth="true" hidden="true" outlineLevel="0" max="11292" min="11292" style="1" width="10.49"/>
    <col collapsed="false" customWidth="true" hidden="false" outlineLevel="0" max="11298" min="11293" style="1" width="5.5"/>
    <col collapsed="false" customWidth="true" hidden="true" outlineLevel="0" max="11304" min="11299" style="1" width="10.49"/>
    <col collapsed="false" customWidth="true" hidden="false" outlineLevel="0" max="11305" min="11305" style="1" width="6.75"/>
    <col collapsed="false" customWidth="true" hidden="false" outlineLevel="0" max="11307" min="11306" style="1" width="6.25"/>
    <col collapsed="false" customWidth="true" hidden="false" outlineLevel="0" max="11308" min="11308" style="1" width="7.25"/>
    <col collapsed="false" customWidth="true" hidden="true" outlineLevel="0" max="11328" min="11309" style="1" width="10.49"/>
    <col collapsed="false" customWidth="true" hidden="false" outlineLevel="0" max="11329" min="11329" style="1" width="8.38"/>
    <col collapsed="false" customWidth="false" hidden="false" outlineLevel="0" max="11330" min="11330" style="1" width="8.88"/>
    <col collapsed="false" customWidth="true" hidden="false" outlineLevel="0" max="11338" min="11331" style="1" width="16.26"/>
    <col collapsed="false" customWidth="true" hidden="false" outlineLevel="0" max="11339" min="11339" style="1" width="21.88"/>
    <col collapsed="false" customWidth="true" hidden="false" outlineLevel="0" max="11341" min="11340" style="1" width="11.12"/>
    <col collapsed="false" customWidth="false" hidden="false" outlineLevel="0" max="11538" min="11342" style="1" width="8.88"/>
    <col collapsed="false" customWidth="true" hidden="false" outlineLevel="0" max="11539" min="11539" style="1" width="7.5"/>
    <col collapsed="false" customWidth="true" hidden="false" outlineLevel="0" max="11540" min="11540" style="1" width="7.62"/>
    <col collapsed="false" customWidth="true" hidden="false" outlineLevel="0" max="11543" min="11541" style="1" width="6"/>
    <col collapsed="false" customWidth="true" hidden="false" outlineLevel="0" max="11544" min="11544" style="1" width="6.12"/>
    <col collapsed="false" customWidth="true" hidden="false" outlineLevel="0" max="11547" min="11545" style="1" width="6"/>
    <col collapsed="false" customWidth="true" hidden="true" outlineLevel="0" max="11548" min="11548" style="1" width="10.49"/>
    <col collapsed="false" customWidth="true" hidden="false" outlineLevel="0" max="11554" min="11549" style="1" width="5.5"/>
    <col collapsed="false" customWidth="true" hidden="true" outlineLevel="0" max="11560" min="11555" style="1" width="10.49"/>
    <col collapsed="false" customWidth="true" hidden="false" outlineLevel="0" max="11561" min="11561" style="1" width="6.75"/>
    <col collapsed="false" customWidth="true" hidden="false" outlineLevel="0" max="11563" min="11562" style="1" width="6.25"/>
    <col collapsed="false" customWidth="true" hidden="false" outlineLevel="0" max="11564" min="11564" style="1" width="7.25"/>
    <col collapsed="false" customWidth="true" hidden="true" outlineLevel="0" max="11584" min="11565" style="1" width="10.49"/>
    <col collapsed="false" customWidth="true" hidden="false" outlineLevel="0" max="11585" min="11585" style="1" width="8.38"/>
    <col collapsed="false" customWidth="false" hidden="false" outlineLevel="0" max="11586" min="11586" style="1" width="8.88"/>
    <col collapsed="false" customWidth="true" hidden="false" outlineLevel="0" max="11594" min="11587" style="1" width="16.26"/>
    <col collapsed="false" customWidth="true" hidden="false" outlineLevel="0" max="11595" min="11595" style="1" width="21.88"/>
    <col collapsed="false" customWidth="true" hidden="false" outlineLevel="0" max="11597" min="11596" style="1" width="11.12"/>
    <col collapsed="false" customWidth="false" hidden="false" outlineLevel="0" max="11794" min="11598" style="1" width="8.88"/>
    <col collapsed="false" customWidth="true" hidden="false" outlineLevel="0" max="11795" min="11795" style="1" width="7.5"/>
    <col collapsed="false" customWidth="true" hidden="false" outlineLevel="0" max="11796" min="11796" style="1" width="7.62"/>
    <col collapsed="false" customWidth="true" hidden="false" outlineLevel="0" max="11799" min="11797" style="1" width="6"/>
    <col collapsed="false" customWidth="true" hidden="false" outlineLevel="0" max="11800" min="11800" style="1" width="6.12"/>
    <col collapsed="false" customWidth="true" hidden="false" outlineLevel="0" max="11803" min="11801" style="1" width="6"/>
    <col collapsed="false" customWidth="true" hidden="true" outlineLevel="0" max="11804" min="11804" style="1" width="10.49"/>
    <col collapsed="false" customWidth="true" hidden="false" outlineLevel="0" max="11810" min="11805" style="1" width="5.5"/>
    <col collapsed="false" customWidth="true" hidden="true" outlineLevel="0" max="11816" min="11811" style="1" width="10.49"/>
    <col collapsed="false" customWidth="true" hidden="false" outlineLevel="0" max="11817" min="11817" style="1" width="6.75"/>
    <col collapsed="false" customWidth="true" hidden="false" outlineLevel="0" max="11819" min="11818" style="1" width="6.25"/>
    <col collapsed="false" customWidth="true" hidden="false" outlineLevel="0" max="11820" min="11820" style="1" width="7.25"/>
    <col collapsed="false" customWidth="true" hidden="true" outlineLevel="0" max="11840" min="11821" style="1" width="10.49"/>
    <col collapsed="false" customWidth="true" hidden="false" outlineLevel="0" max="11841" min="11841" style="1" width="8.38"/>
    <col collapsed="false" customWidth="false" hidden="false" outlineLevel="0" max="11842" min="11842" style="1" width="8.88"/>
    <col collapsed="false" customWidth="true" hidden="false" outlineLevel="0" max="11850" min="11843" style="1" width="16.26"/>
    <col collapsed="false" customWidth="true" hidden="false" outlineLevel="0" max="11851" min="11851" style="1" width="21.88"/>
    <col collapsed="false" customWidth="true" hidden="false" outlineLevel="0" max="11853" min="11852" style="1" width="11.12"/>
    <col collapsed="false" customWidth="false" hidden="false" outlineLevel="0" max="12050" min="11854" style="1" width="8.88"/>
    <col collapsed="false" customWidth="true" hidden="false" outlineLevel="0" max="12051" min="12051" style="1" width="7.5"/>
    <col collapsed="false" customWidth="true" hidden="false" outlineLevel="0" max="12052" min="12052" style="1" width="7.62"/>
    <col collapsed="false" customWidth="true" hidden="false" outlineLevel="0" max="12055" min="12053" style="1" width="6"/>
    <col collapsed="false" customWidth="true" hidden="false" outlineLevel="0" max="12056" min="12056" style="1" width="6.12"/>
    <col collapsed="false" customWidth="true" hidden="false" outlineLevel="0" max="12059" min="12057" style="1" width="6"/>
    <col collapsed="false" customWidth="true" hidden="true" outlineLevel="0" max="12060" min="12060" style="1" width="10.49"/>
    <col collapsed="false" customWidth="true" hidden="false" outlineLevel="0" max="12066" min="12061" style="1" width="5.5"/>
    <col collapsed="false" customWidth="true" hidden="true" outlineLevel="0" max="12072" min="12067" style="1" width="10.49"/>
    <col collapsed="false" customWidth="true" hidden="false" outlineLevel="0" max="12073" min="12073" style="1" width="6.75"/>
    <col collapsed="false" customWidth="true" hidden="false" outlineLevel="0" max="12075" min="12074" style="1" width="6.25"/>
    <col collapsed="false" customWidth="true" hidden="false" outlineLevel="0" max="12076" min="12076" style="1" width="7.25"/>
    <col collapsed="false" customWidth="true" hidden="true" outlineLevel="0" max="12096" min="12077" style="1" width="10.49"/>
    <col collapsed="false" customWidth="true" hidden="false" outlineLevel="0" max="12097" min="12097" style="1" width="8.38"/>
    <col collapsed="false" customWidth="false" hidden="false" outlineLevel="0" max="12098" min="12098" style="1" width="8.88"/>
    <col collapsed="false" customWidth="true" hidden="false" outlineLevel="0" max="12106" min="12099" style="1" width="16.26"/>
    <col collapsed="false" customWidth="true" hidden="false" outlineLevel="0" max="12107" min="12107" style="1" width="21.88"/>
    <col collapsed="false" customWidth="true" hidden="false" outlineLevel="0" max="12109" min="12108" style="1" width="11.12"/>
    <col collapsed="false" customWidth="false" hidden="false" outlineLevel="0" max="12306" min="12110" style="1" width="8.88"/>
    <col collapsed="false" customWidth="true" hidden="false" outlineLevel="0" max="12307" min="12307" style="1" width="7.5"/>
    <col collapsed="false" customWidth="true" hidden="false" outlineLevel="0" max="12308" min="12308" style="1" width="7.62"/>
    <col collapsed="false" customWidth="true" hidden="false" outlineLevel="0" max="12311" min="12309" style="1" width="6"/>
    <col collapsed="false" customWidth="true" hidden="false" outlineLevel="0" max="12312" min="12312" style="1" width="6.12"/>
    <col collapsed="false" customWidth="true" hidden="false" outlineLevel="0" max="12315" min="12313" style="1" width="6"/>
    <col collapsed="false" customWidth="true" hidden="true" outlineLevel="0" max="12316" min="12316" style="1" width="10.49"/>
    <col collapsed="false" customWidth="true" hidden="false" outlineLevel="0" max="12322" min="12317" style="1" width="5.5"/>
    <col collapsed="false" customWidth="true" hidden="true" outlineLevel="0" max="12328" min="12323" style="1" width="10.49"/>
    <col collapsed="false" customWidth="true" hidden="false" outlineLevel="0" max="12329" min="12329" style="1" width="6.75"/>
    <col collapsed="false" customWidth="true" hidden="false" outlineLevel="0" max="12331" min="12330" style="1" width="6.25"/>
    <col collapsed="false" customWidth="true" hidden="false" outlineLevel="0" max="12332" min="12332" style="1" width="7.25"/>
    <col collapsed="false" customWidth="true" hidden="true" outlineLevel="0" max="12352" min="12333" style="1" width="10.49"/>
    <col collapsed="false" customWidth="true" hidden="false" outlineLevel="0" max="12353" min="12353" style="1" width="8.38"/>
    <col collapsed="false" customWidth="false" hidden="false" outlineLevel="0" max="12354" min="12354" style="1" width="8.88"/>
    <col collapsed="false" customWidth="true" hidden="false" outlineLevel="0" max="12362" min="12355" style="1" width="16.26"/>
    <col collapsed="false" customWidth="true" hidden="false" outlineLevel="0" max="12363" min="12363" style="1" width="21.88"/>
    <col collapsed="false" customWidth="true" hidden="false" outlineLevel="0" max="12365" min="12364" style="1" width="11.12"/>
    <col collapsed="false" customWidth="false" hidden="false" outlineLevel="0" max="12562" min="12366" style="1" width="8.88"/>
    <col collapsed="false" customWidth="true" hidden="false" outlineLevel="0" max="12563" min="12563" style="1" width="7.5"/>
    <col collapsed="false" customWidth="true" hidden="false" outlineLevel="0" max="12564" min="12564" style="1" width="7.62"/>
    <col collapsed="false" customWidth="true" hidden="false" outlineLevel="0" max="12567" min="12565" style="1" width="6"/>
    <col collapsed="false" customWidth="true" hidden="false" outlineLevel="0" max="12568" min="12568" style="1" width="6.12"/>
    <col collapsed="false" customWidth="true" hidden="false" outlineLevel="0" max="12571" min="12569" style="1" width="6"/>
    <col collapsed="false" customWidth="true" hidden="true" outlineLevel="0" max="12572" min="12572" style="1" width="10.49"/>
    <col collapsed="false" customWidth="true" hidden="false" outlineLevel="0" max="12578" min="12573" style="1" width="5.5"/>
    <col collapsed="false" customWidth="true" hidden="true" outlineLevel="0" max="12584" min="12579" style="1" width="10.49"/>
    <col collapsed="false" customWidth="true" hidden="false" outlineLevel="0" max="12585" min="12585" style="1" width="6.75"/>
    <col collapsed="false" customWidth="true" hidden="false" outlineLevel="0" max="12587" min="12586" style="1" width="6.25"/>
    <col collapsed="false" customWidth="true" hidden="false" outlineLevel="0" max="12588" min="12588" style="1" width="7.25"/>
    <col collapsed="false" customWidth="true" hidden="true" outlineLevel="0" max="12608" min="12589" style="1" width="10.49"/>
    <col collapsed="false" customWidth="true" hidden="false" outlineLevel="0" max="12609" min="12609" style="1" width="8.38"/>
    <col collapsed="false" customWidth="false" hidden="false" outlineLevel="0" max="12610" min="12610" style="1" width="8.88"/>
    <col collapsed="false" customWidth="true" hidden="false" outlineLevel="0" max="12618" min="12611" style="1" width="16.26"/>
    <col collapsed="false" customWidth="true" hidden="false" outlineLevel="0" max="12619" min="12619" style="1" width="21.88"/>
    <col collapsed="false" customWidth="true" hidden="false" outlineLevel="0" max="12621" min="12620" style="1" width="11.12"/>
    <col collapsed="false" customWidth="false" hidden="false" outlineLevel="0" max="12818" min="12622" style="1" width="8.88"/>
    <col collapsed="false" customWidth="true" hidden="false" outlineLevel="0" max="12819" min="12819" style="1" width="7.5"/>
    <col collapsed="false" customWidth="true" hidden="false" outlineLevel="0" max="12820" min="12820" style="1" width="7.62"/>
    <col collapsed="false" customWidth="true" hidden="false" outlineLevel="0" max="12823" min="12821" style="1" width="6"/>
    <col collapsed="false" customWidth="true" hidden="false" outlineLevel="0" max="12824" min="12824" style="1" width="6.12"/>
    <col collapsed="false" customWidth="true" hidden="false" outlineLevel="0" max="12827" min="12825" style="1" width="6"/>
    <col collapsed="false" customWidth="true" hidden="true" outlineLevel="0" max="12828" min="12828" style="1" width="10.49"/>
    <col collapsed="false" customWidth="true" hidden="false" outlineLevel="0" max="12834" min="12829" style="1" width="5.5"/>
    <col collapsed="false" customWidth="true" hidden="true" outlineLevel="0" max="12840" min="12835" style="1" width="10.49"/>
    <col collapsed="false" customWidth="true" hidden="false" outlineLevel="0" max="12841" min="12841" style="1" width="6.75"/>
    <col collapsed="false" customWidth="true" hidden="false" outlineLevel="0" max="12843" min="12842" style="1" width="6.25"/>
    <col collapsed="false" customWidth="true" hidden="false" outlineLevel="0" max="12844" min="12844" style="1" width="7.25"/>
    <col collapsed="false" customWidth="true" hidden="true" outlineLevel="0" max="12864" min="12845" style="1" width="10.49"/>
    <col collapsed="false" customWidth="true" hidden="false" outlineLevel="0" max="12865" min="12865" style="1" width="8.38"/>
    <col collapsed="false" customWidth="false" hidden="false" outlineLevel="0" max="12866" min="12866" style="1" width="8.88"/>
    <col collapsed="false" customWidth="true" hidden="false" outlineLevel="0" max="12874" min="12867" style="1" width="16.26"/>
    <col collapsed="false" customWidth="true" hidden="false" outlineLevel="0" max="12875" min="12875" style="1" width="21.88"/>
    <col collapsed="false" customWidth="true" hidden="false" outlineLevel="0" max="12877" min="12876" style="1" width="11.12"/>
    <col collapsed="false" customWidth="false" hidden="false" outlineLevel="0" max="13074" min="12878" style="1" width="8.88"/>
    <col collapsed="false" customWidth="true" hidden="false" outlineLevel="0" max="13075" min="13075" style="1" width="7.5"/>
    <col collapsed="false" customWidth="true" hidden="false" outlineLevel="0" max="13076" min="13076" style="1" width="7.62"/>
    <col collapsed="false" customWidth="true" hidden="false" outlineLevel="0" max="13079" min="13077" style="1" width="6"/>
    <col collapsed="false" customWidth="true" hidden="false" outlineLevel="0" max="13080" min="13080" style="1" width="6.12"/>
    <col collapsed="false" customWidth="true" hidden="false" outlineLevel="0" max="13083" min="13081" style="1" width="6"/>
    <col collapsed="false" customWidth="true" hidden="true" outlineLevel="0" max="13084" min="13084" style="1" width="10.49"/>
    <col collapsed="false" customWidth="true" hidden="false" outlineLevel="0" max="13090" min="13085" style="1" width="5.5"/>
    <col collapsed="false" customWidth="true" hidden="true" outlineLevel="0" max="13096" min="13091" style="1" width="10.49"/>
    <col collapsed="false" customWidth="true" hidden="false" outlineLevel="0" max="13097" min="13097" style="1" width="6.75"/>
    <col collapsed="false" customWidth="true" hidden="false" outlineLevel="0" max="13099" min="13098" style="1" width="6.25"/>
    <col collapsed="false" customWidth="true" hidden="false" outlineLevel="0" max="13100" min="13100" style="1" width="7.25"/>
    <col collapsed="false" customWidth="true" hidden="true" outlineLevel="0" max="13120" min="13101" style="1" width="10.49"/>
    <col collapsed="false" customWidth="true" hidden="false" outlineLevel="0" max="13121" min="13121" style="1" width="8.38"/>
    <col collapsed="false" customWidth="false" hidden="false" outlineLevel="0" max="13122" min="13122" style="1" width="8.88"/>
    <col collapsed="false" customWidth="true" hidden="false" outlineLevel="0" max="13130" min="13123" style="1" width="16.26"/>
    <col collapsed="false" customWidth="true" hidden="false" outlineLevel="0" max="13131" min="13131" style="1" width="21.88"/>
    <col collapsed="false" customWidth="true" hidden="false" outlineLevel="0" max="13133" min="13132" style="1" width="11.12"/>
    <col collapsed="false" customWidth="false" hidden="false" outlineLevel="0" max="13330" min="13134" style="1" width="8.88"/>
    <col collapsed="false" customWidth="true" hidden="false" outlineLevel="0" max="13331" min="13331" style="1" width="7.5"/>
    <col collapsed="false" customWidth="true" hidden="false" outlineLevel="0" max="13332" min="13332" style="1" width="7.62"/>
    <col collapsed="false" customWidth="true" hidden="false" outlineLevel="0" max="13335" min="13333" style="1" width="6"/>
    <col collapsed="false" customWidth="true" hidden="false" outlineLevel="0" max="13336" min="13336" style="1" width="6.12"/>
    <col collapsed="false" customWidth="true" hidden="false" outlineLevel="0" max="13339" min="13337" style="1" width="6"/>
    <col collapsed="false" customWidth="true" hidden="true" outlineLevel="0" max="13340" min="13340" style="1" width="10.49"/>
    <col collapsed="false" customWidth="true" hidden="false" outlineLevel="0" max="13346" min="13341" style="1" width="5.5"/>
    <col collapsed="false" customWidth="true" hidden="true" outlineLevel="0" max="13352" min="13347" style="1" width="10.49"/>
    <col collapsed="false" customWidth="true" hidden="false" outlineLevel="0" max="13353" min="13353" style="1" width="6.75"/>
    <col collapsed="false" customWidth="true" hidden="false" outlineLevel="0" max="13355" min="13354" style="1" width="6.25"/>
    <col collapsed="false" customWidth="true" hidden="false" outlineLevel="0" max="13356" min="13356" style="1" width="7.25"/>
    <col collapsed="false" customWidth="true" hidden="true" outlineLevel="0" max="13376" min="13357" style="1" width="10.49"/>
    <col collapsed="false" customWidth="true" hidden="false" outlineLevel="0" max="13377" min="13377" style="1" width="8.38"/>
    <col collapsed="false" customWidth="false" hidden="false" outlineLevel="0" max="13378" min="13378" style="1" width="8.88"/>
    <col collapsed="false" customWidth="true" hidden="false" outlineLevel="0" max="13386" min="13379" style="1" width="16.26"/>
    <col collapsed="false" customWidth="true" hidden="false" outlineLevel="0" max="13387" min="13387" style="1" width="21.88"/>
    <col collapsed="false" customWidth="true" hidden="false" outlineLevel="0" max="13389" min="13388" style="1" width="11.12"/>
    <col collapsed="false" customWidth="false" hidden="false" outlineLevel="0" max="13586" min="13390" style="1" width="8.88"/>
    <col collapsed="false" customWidth="true" hidden="false" outlineLevel="0" max="13587" min="13587" style="1" width="7.5"/>
    <col collapsed="false" customWidth="true" hidden="false" outlineLevel="0" max="13588" min="13588" style="1" width="7.62"/>
    <col collapsed="false" customWidth="true" hidden="false" outlineLevel="0" max="13591" min="13589" style="1" width="6"/>
    <col collapsed="false" customWidth="true" hidden="false" outlineLevel="0" max="13592" min="13592" style="1" width="6.12"/>
    <col collapsed="false" customWidth="true" hidden="false" outlineLevel="0" max="13595" min="13593" style="1" width="6"/>
    <col collapsed="false" customWidth="true" hidden="true" outlineLevel="0" max="13596" min="13596" style="1" width="10.49"/>
    <col collapsed="false" customWidth="true" hidden="false" outlineLevel="0" max="13602" min="13597" style="1" width="5.5"/>
    <col collapsed="false" customWidth="true" hidden="true" outlineLevel="0" max="13608" min="13603" style="1" width="10.49"/>
    <col collapsed="false" customWidth="true" hidden="false" outlineLevel="0" max="13609" min="13609" style="1" width="6.75"/>
    <col collapsed="false" customWidth="true" hidden="false" outlineLevel="0" max="13611" min="13610" style="1" width="6.25"/>
    <col collapsed="false" customWidth="true" hidden="false" outlineLevel="0" max="13612" min="13612" style="1" width="7.25"/>
    <col collapsed="false" customWidth="true" hidden="true" outlineLevel="0" max="13632" min="13613" style="1" width="10.49"/>
    <col collapsed="false" customWidth="true" hidden="false" outlineLevel="0" max="13633" min="13633" style="1" width="8.38"/>
    <col collapsed="false" customWidth="false" hidden="false" outlineLevel="0" max="13634" min="13634" style="1" width="8.88"/>
    <col collapsed="false" customWidth="true" hidden="false" outlineLevel="0" max="13642" min="13635" style="1" width="16.26"/>
    <col collapsed="false" customWidth="true" hidden="false" outlineLevel="0" max="13643" min="13643" style="1" width="21.88"/>
    <col collapsed="false" customWidth="true" hidden="false" outlineLevel="0" max="13645" min="13644" style="1" width="11.12"/>
    <col collapsed="false" customWidth="false" hidden="false" outlineLevel="0" max="13842" min="13646" style="1" width="8.88"/>
    <col collapsed="false" customWidth="true" hidden="false" outlineLevel="0" max="13843" min="13843" style="1" width="7.5"/>
    <col collapsed="false" customWidth="true" hidden="false" outlineLevel="0" max="13844" min="13844" style="1" width="7.62"/>
    <col collapsed="false" customWidth="true" hidden="false" outlineLevel="0" max="13847" min="13845" style="1" width="6"/>
    <col collapsed="false" customWidth="true" hidden="false" outlineLevel="0" max="13848" min="13848" style="1" width="6.12"/>
    <col collapsed="false" customWidth="true" hidden="false" outlineLevel="0" max="13851" min="13849" style="1" width="6"/>
    <col collapsed="false" customWidth="true" hidden="true" outlineLevel="0" max="13852" min="13852" style="1" width="10.49"/>
    <col collapsed="false" customWidth="true" hidden="false" outlineLevel="0" max="13858" min="13853" style="1" width="5.5"/>
    <col collapsed="false" customWidth="true" hidden="true" outlineLevel="0" max="13864" min="13859" style="1" width="10.49"/>
    <col collapsed="false" customWidth="true" hidden="false" outlineLevel="0" max="13865" min="13865" style="1" width="6.75"/>
    <col collapsed="false" customWidth="true" hidden="false" outlineLevel="0" max="13867" min="13866" style="1" width="6.25"/>
    <col collapsed="false" customWidth="true" hidden="false" outlineLevel="0" max="13868" min="13868" style="1" width="7.25"/>
    <col collapsed="false" customWidth="true" hidden="true" outlineLevel="0" max="13888" min="13869" style="1" width="10.49"/>
    <col collapsed="false" customWidth="true" hidden="false" outlineLevel="0" max="13889" min="13889" style="1" width="8.38"/>
    <col collapsed="false" customWidth="false" hidden="false" outlineLevel="0" max="13890" min="13890" style="1" width="8.88"/>
    <col collapsed="false" customWidth="true" hidden="false" outlineLevel="0" max="13898" min="13891" style="1" width="16.26"/>
    <col collapsed="false" customWidth="true" hidden="false" outlineLevel="0" max="13899" min="13899" style="1" width="21.88"/>
    <col collapsed="false" customWidth="true" hidden="false" outlineLevel="0" max="13901" min="13900" style="1" width="11.12"/>
    <col collapsed="false" customWidth="false" hidden="false" outlineLevel="0" max="14098" min="13902" style="1" width="8.88"/>
    <col collapsed="false" customWidth="true" hidden="false" outlineLevel="0" max="14099" min="14099" style="1" width="7.5"/>
    <col collapsed="false" customWidth="true" hidden="false" outlineLevel="0" max="14100" min="14100" style="1" width="7.62"/>
    <col collapsed="false" customWidth="true" hidden="false" outlineLevel="0" max="14103" min="14101" style="1" width="6"/>
    <col collapsed="false" customWidth="true" hidden="false" outlineLevel="0" max="14104" min="14104" style="1" width="6.12"/>
    <col collapsed="false" customWidth="true" hidden="false" outlineLevel="0" max="14107" min="14105" style="1" width="6"/>
    <col collapsed="false" customWidth="true" hidden="true" outlineLevel="0" max="14108" min="14108" style="1" width="10.49"/>
    <col collapsed="false" customWidth="true" hidden="false" outlineLevel="0" max="14114" min="14109" style="1" width="5.5"/>
    <col collapsed="false" customWidth="true" hidden="true" outlineLevel="0" max="14120" min="14115" style="1" width="10.49"/>
    <col collapsed="false" customWidth="true" hidden="false" outlineLevel="0" max="14121" min="14121" style="1" width="6.75"/>
    <col collapsed="false" customWidth="true" hidden="false" outlineLevel="0" max="14123" min="14122" style="1" width="6.25"/>
    <col collapsed="false" customWidth="true" hidden="false" outlineLevel="0" max="14124" min="14124" style="1" width="7.25"/>
    <col collapsed="false" customWidth="true" hidden="true" outlineLevel="0" max="14144" min="14125" style="1" width="10.49"/>
    <col collapsed="false" customWidth="true" hidden="false" outlineLevel="0" max="14145" min="14145" style="1" width="8.38"/>
    <col collapsed="false" customWidth="false" hidden="false" outlineLevel="0" max="14146" min="14146" style="1" width="8.88"/>
    <col collapsed="false" customWidth="true" hidden="false" outlineLevel="0" max="14154" min="14147" style="1" width="16.26"/>
    <col collapsed="false" customWidth="true" hidden="false" outlineLevel="0" max="14155" min="14155" style="1" width="21.88"/>
    <col collapsed="false" customWidth="true" hidden="false" outlineLevel="0" max="14157" min="14156" style="1" width="11.12"/>
    <col collapsed="false" customWidth="false" hidden="false" outlineLevel="0" max="14354" min="14158" style="1" width="8.88"/>
    <col collapsed="false" customWidth="true" hidden="false" outlineLevel="0" max="14355" min="14355" style="1" width="7.5"/>
    <col collapsed="false" customWidth="true" hidden="false" outlineLevel="0" max="14356" min="14356" style="1" width="7.62"/>
    <col collapsed="false" customWidth="true" hidden="false" outlineLevel="0" max="14359" min="14357" style="1" width="6"/>
    <col collapsed="false" customWidth="true" hidden="false" outlineLevel="0" max="14360" min="14360" style="1" width="6.12"/>
    <col collapsed="false" customWidth="true" hidden="false" outlineLevel="0" max="14363" min="14361" style="1" width="6"/>
    <col collapsed="false" customWidth="true" hidden="true" outlineLevel="0" max="14364" min="14364" style="1" width="10.49"/>
    <col collapsed="false" customWidth="true" hidden="false" outlineLevel="0" max="14370" min="14365" style="1" width="5.5"/>
    <col collapsed="false" customWidth="true" hidden="true" outlineLevel="0" max="14376" min="14371" style="1" width="10.49"/>
    <col collapsed="false" customWidth="true" hidden="false" outlineLevel="0" max="14377" min="14377" style="1" width="6.75"/>
    <col collapsed="false" customWidth="true" hidden="false" outlineLevel="0" max="14379" min="14378" style="1" width="6.25"/>
    <col collapsed="false" customWidth="true" hidden="false" outlineLevel="0" max="14380" min="14380" style="1" width="7.25"/>
    <col collapsed="false" customWidth="true" hidden="true" outlineLevel="0" max="14400" min="14381" style="1" width="10.49"/>
    <col collapsed="false" customWidth="true" hidden="false" outlineLevel="0" max="14401" min="14401" style="1" width="8.38"/>
    <col collapsed="false" customWidth="false" hidden="false" outlineLevel="0" max="14402" min="14402" style="1" width="8.88"/>
    <col collapsed="false" customWidth="true" hidden="false" outlineLevel="0" max="14410" min="14403" style="1" width="16.26"/>
    <col collapsed="false" customWidth="true" hidden="false" outlineLevel="0" max="14411" min="14411" style="1" width="21.88"/>
    <col collapsed="false" customWidth="true" hidden="false" outlineLevel="0" max="14413" min="14412" style="1" width="11.12"/>
    <col collapsed="false" customWidth="false" hidden="false" outlineLevel="0" max="14610" min="14414" style="1" width="8.88"/>
    <col collapsed="false" customWidth="true" hidden="false" outlineLevel="0" max="14611" min="14611" style="1" width="7.5"/>
    <col collapsed="false" customWidth="true" hidden="false" outlineLevel="0" max="14612" min="14612" style="1" width="7.62"/>
    <col collapsed="false" customWidth="true" hidden="false" outlineLevel="0" max="14615" min="14613" style="1" width="6"/>
    <col collapsed="false" customWidth="true" hidden="false" outlineLevel="0" max="14616" min="14616" style="1" width="6.12"/>
    <col collapsed="false" customWidth="true" hidden="false" outlineLevel="0" max="14619" min="14617" style="1" width="6"/>
    <col collapsed="false" customWidth="true" hidden="true" outlineLevel="0" max="14620" min="14620" style="1" width="10.49"/>
    <col collapsed="false" customWidth="true" hidden="false" outlineLevel="0" max="14626" min="14621" style="1" width="5.5"/>
    <col collapsed="false" customWidth="true" hidden="true" outlineLevel="0" max="14632" min="14627" style="1" width="10.49"/>
    <col collapsed="false" customWidth="true" hidden="false" outlineLevel="0" max="14633" min="14633" style="1" width="6.75"/>
    <col collapsed="false" customWidth="true" hidden="false" outlineLevel="0" max="14635" min="14634" style="1" width="6.25"/>
    <col collapsed="false" customWidth="true" hidden="false" outlineLevel="0" max="14636" min="14636" style="1" width="7.25"/>
    <col collapsed="false" customWidth="true" hidden="true" outlineLevel="0" max="14656" min="14637" style="1" width="10.49"/>
    <col collapsed="false" customWidth="true" hidden="false" outlineLevel="0" max="14657" min="14657" style="1" width="8.38"/>
    <col collapsed="false" customWidth="false" hidden="false" outlineLevel="0" max="14658" min="14658" style="1" width="8.88"/>
    <col collapsed="false" customWidth="true" hidden="false" outlineLevel="0" max="14666" min="14659" style="1" width="16.26"/>
    <col collapsed="false" customWidth="true" hidden="false" outlineLevel="0" max="14667" min="14667" style="1" width="21.88"/>
    <col collapsed="false" customWidth="true" hidden="false" outlineLevel="0" max="14669" min="14668" style="1" width="11.12"/>
    <col collapsed="false" customWidth="false" hidden="false" outlineLevel="0" max="14866" min="14670" style="1" width="8.88"/>
    <col collapsed="false" customWidth="true" hidden="false" outlineLevel="0" max="14867" min="14867" style="1" width="7.5"/>
    <col collapsed="false" customWidth="true" hidden="false" outlineLevel="0" max="14868" min="14868" style="1" width="7.62"/>
    <col collapsed="false" customWidth="true" hidden="false" outlineLevel="0" max="14871" min="14869" style="1" width="6"/>
    <col collapsed="false" customWidth="true" hidden="false" outlineLevel="0" max="14872" min="14872" style="1" width="6.12"/>
    <col collapsed="false" customWidth="true" hidden="false" outlineLevel="0" max="14875" min="14873" style="1" width="6"/>
    <col collapsed="false" customWidth="true" hidden="true" outlineLevel="0" max="14876" min="14876" style="1" width="10.49"/>
    <col collapsed="false" customWidth="true" hidden="false" outlineLevel="0" max="14882" min="14877" style="1" width="5.5"/>
    <col collapsed="false" customWidth="true" hidden="true" outlineLevel="0" max="14888" min="14883" style="1" width="10.49"/>
    <col collapsed="false" customWidth="true" hidden="false" outlineLevel="0" max="14889" min="14889" style="1" width="6.75"/>
    <col collapsed="false" customWidth="true" hidden="false" outlineLevel="0" max="14891" min="14890" style="1" width="6.25"/>
    <col collapsed="false" customWidth="true" hidden="false" outlineLevel="0" max="14892" min="14892" style="1" width="7.25"/>
    <col collapsed="false" customWidth="true" hidden="true" outlineLevel="0" max="14912" min="14893" style="1" width="10.49"/>
    <col collapsed="false" customWidth="true" hidden="false" outlineLevel="0" max="14913" min="14913" style="1" width="8.38"/>
    <col collapsed="false" customWidth="false" hidden="false" outlineLevel="0" max="14914" min="14914" style="1" width="8.88"/>
    <col collapsed="false" customWidth="true" hidden="false" outlineLevel="0" max="14922" min="14915" style="1" width="16.26"/>
    <col collapsed="false" customWidth="true" hidden="false" outlineLevel="0" max="14923" min="14923" style="1" width="21.88"/>
    <col collapsed="false" customWidth="true" hidden="false" outlineLevel="0" max="14925" min="14924" style="1" width="11.12"/>
    <col collapsed="false" customWidth="false" hidden="false" outlineLevel="0" max="15122" min="14926" style="1" width="8.88"/>
    <col collapsed="false" customWidth="true" hidden="false" outlineLevel="0" max="15123" min="15123" style="1" width="7.5"/>
    <col collapsed="false" customWidth="true" hidden="false" outlineLevel="0" max="15124" min="15124" style="1" width="7.62"/>
    <col collapsed="false" customWidth="true" hidden="false" outlineLevel="0" max="15127" min="15125" style="1" width="6"/>
    <col collapsed="false" customWidth="true" hidden="false" outlineLevel="0" max="15128" min="15128" style="1" width="6.12"/>
    <col collapsed="false" customWidth="true" hidden="false" outlineLevel="0" max="15131" min="15129" style="1" width="6"/>
    <col collapsed="false" customWidth="true" hidden="true" outlineLevel="0" max="15132" min="15132" style="1" width="10.49"/>
    <col collapsed="false" customWidth="true" hidden="false" outlineLevel="0" max="15138" min="15133" style="1" width="5.5"/>
    <col collapsed="false" customWidth="true" hidden="true" outlineLevel="0" max="15144" min="15139" style="1" width="10.49"/>
    <col collapsed="false" customWidth="true" hidden="false" outlineLevel="0" max="15145" min="15145" style="1" width="6.75"/>
    <col collapsed="false" customWidth="true" hidden="false" outlineLevel="0" max="15147" min="15146" style="1" width="6.25"/>
    <col collapsed="false" customWidth="true" hidden="false" outlineLevel="0" max="15148" min="15148" style="1" width="7.25"/>
    <col collapsed="false" customWidth="true" hidden="true" outlineLevel="0" max="15168" min="15149" style="1" width="10.49"/>
    <col collapsed="false" customWidth="true" hidden="false" outlineLevel="0" max="15169" min="15169" style="1" width="8.38"/>
    <col collapsed="false" customWidth="false" hidden="false" outlineLevel="0" max="15170" min="15170" style="1" width="8.88"/>
    <col collapsed="false" customWidth="true" hidden="false" outlineLevel="0" max="15178" min="15171" style="1" width="16.26"/>
    <col collapsed="false" customWidth="true" hidden="false" outlineLevel="0" max="15179" min="15179" style="1" width="21.88"/>
    <col collapsed="false" customWidth="true" hidden="false" outlineLevel="0" max="15181" min="15180" style="1" width="11.12"/>
    <col collapsed="false" customWidth="false" hidden="false" outlineLevel="0" max="15378" min="15182" style="1" width="8.88"/>
    <col collapsed="false" customWidth="true" hidden="false" outlineLevel="0" max="15379" min="15379" style="1" width="7.5"/>
    <col collapsed="false" customWidth="true" hidden="false" outlineLevel="0" max="15380" min="15380" style="1" width="7.62"/>
    <col collapsed="false" customWidth="true" hidden="false" outlineLevel="0" max="15383" min="15381" style="1" width="6"/>
    <col collapsed="false" customWidth="true" hidden="false" outlineLevel="0" max="15384" min="15384" style="1" width="6.12"/>
    <col collapsed="false" customWidth="true" hidden="false" outlineLevel="0" max="15387" min="15385" style="1" width="6"/>
    <col collapsed="false" customWidth="true" hidden="true" outlineLevel="0" max="15388" min="15388" style="1" width="10.49"/>
    <col collapsed="false" customWidth="true" hidden="false" outlineLevel="0" max="15394" min="15389" style="1" width="5.5"/>
    <col collapsed="false" customWidth="true" hidden="true" outlineLevel="0" max="15400" min="15395" style="1" width="10.49"/>
    <col collapsed="false" customWidth="true" hidden="false" outlineLevel="0" max="15401" min="15401" style="1" width="6.75"/>
    <col collapsed="false" customWidth="true" hidden="false" outlineLevel="0" max="15403" min="15402" style="1" width="6.25"/>
    <col collapsed="false" customWidth="true" hidden="false" outlineLevel="0" max="15404" min="15404" style="1" width="7.25"/>
    <col collapsed="false" customWidth="true" hidden="true" outlineLevel="0" max="15424" min="15405" style="1" width="10.49"/>
    <col collapsed="false" customWidth="true" hidden="false" outlineLevel="0" max="15425" min="15425" style="1" width="8.38"/>
    <col collapsed="false" customWidth="false" hidden="false" outlineLevel="0" max="15426" min="15426" style="1" width="8.88"/>
    <col collapsed="false" customWidth="true" hidden="false" outlineLevel="0" max="15434" min="15427" style="1" width="16.26"/>
    <col collapsed="false" customWidth="true" hidden="false" outlineLevel="0" max="15435" min="15435" style="1" width="21.88"/>
    <col collapsed="false" customWidth="true" hidden="false" outlineLevel="0" max="15437" min="15436" style="1" width="11.12"/>
    <col collapsed="false" customWidth="false" hidden="false" outlineLevel="0" max="15634" min="15438" style="1" width="8.88"/>
    <col collapsed="false" customWidth="true" hidden="false" outlineLevel="0" max="15635" min="15635" style="1" width="7.5"/>
    <col collapsed="false" customWidth="true" hidden="false" outlineLevel="0" max="15636" min="15636" style="1" width="7.62"/>
    <col collapsed="false" customWidth="true" hidden="false" outlineLevel="0" max="15639" min="15637" style="1" width="6"/>
    <col collapsed="false" customWidth="true" hidden="false" outlineLevel="0" max="15640" min="15640" style="1" width="6.12"/>
    <col collapsed="false" customWidth="true" hidden="false" outlineLevel="0" max="15643" min="15641" style="1" width="6"/>
    <col collapsed="false" customWidth="true" hidden="true" outlineLevel="0" max="15644" min="15644" style="1" width="10.49"/>
    <col collapsed="false" customWidth="true" hidden="false" outlineLevel="0" max="15650" min="15645" style="1" width="5.5"/>
    <col collapsed="false" customWidth="true" hidden="true" outlineLevel="0" max="15656" min="15651" style="1" width="10.49"/>
    <col collapsed="false" customWidth="true" hidden="false" outlineLevel="0" max="15657" min="15657" style="1" width="6.75"/>
    <col collapsed="false" customWidth="true" hidden="false" outlineLevel="0" max="15659" min="15658" style="1" width="6.25"/>
    <col collapsed="false" customWidth="true" hidden="false" outlineLevel="0" max="15660" min="15660" style="1" width="7.25"/>
    <col collapsed="false" customWidth="true" hidden="true" outlineLevel="0" max="15680" min="15661" style="1" width="10.49"/>
    <col collapsed="false" customWidth="true" hidden="false" outlineLevel="0" max="15681" min="15681" style="1" width="8.38"/>
    <col collapsed="false" customWidth="false" hidden="false" outlineLevel="0" max="15682" min="15682" style="1" width="8.88"/>
    <col collapsed="false" customWidth="true" hidden="false" outlineLevel="0" max="15690" min="15683" style="1" width="16.26"/>
    <col collapsed="false" customWidth="true" hidden="false" outlineLevel="0" max="15691" min="15691" style="1" width="21.88"/>
    <col collapsed="false" customWidth="true" hidden="false" outlineLevel="0" max="15693" min="15692" style="1" width="11.12"/>
    <col collapsed="false" customWidth="false" hidden="false" outlineLevel="0" max="15890" min="15694" style="1" width="8.88"/>
    <col collapsed="false" customWidth="true" hidden="false" outlineLevel="0" max="15891" min="15891" style="1" width="7.5"/>
    <col collapsed="false" customWidth="true" hidden="false" outlineLevel="0" max="15892" min="15892" style="1" width="7.62"/>
    <col collapsed="false" customWidth="true" hidden="false" outlineLevel="0" max="15895" min="15893" style="1" width="6"/>
    <col collapsed="false" customWidth="true" hidden="false" outlineLevel="0" max="15896" min="15896" style="1" width="6.12"/>
    <col collapsed="false" customWidth="true" hidden="false" outlineLevel="0" max="15899" min="15897" style="1" width="6"/>
    <col collapsed="false" customWidth="true" hidden="true" outlineLevel="0" max="15900" min="15900" style="1" width="10.49"/>
    <col collapsed="false" customWidth="true" hidden="false" outlineLevel="0" max="15906" min="15901" style="1" width="5.5"/>
    <col collapsed="false" customWidth="true" hidden="true" outlineLevel="0" max="15912" min="15907" style="1" width="10.49"/>
    <col collapsed="false" customWidth="true" hidden="false" outlineLevel="0" max="15913" min="15913" style="1" width="6.75"/>
    <col collapsed="false" customWidth="true" hidden="false" outlineLevel="0" max="15915" min="15914" style="1" width="6.25"/>
    <col collapsed="false" customWidth="true" hidden="false" outlineLevel="0" max="15916" min="15916" style="1" width="7.25"/>
    <col collapsed="false" customWidth="true" hidden="true" outlineLevel="0" max="15936" min="15917" style="1" width="10.49"/>
    <col collapsed="false" customWidth="true" hidden="false" outlineLevel="0" max="15937" min="15937" style="1" width="8.38"/>
    <col collapsed="false" customWidth="false" hidden="false" outlineLevel="0" max="15938" min="15938" style="1" width="8.88"/>
    <col collapsed="false" customWidth="true" hidden="false" outlineLevel="0" max="15946" min="15939" style="1" width="16.26"/>
    <col collapsed="false" customWidth="true" hidden="false" outlineLevel="0" max="15947" min="15947" style="1" width="21.88"/>
    <col collapsed="false" customWidth="true" hidden="false" outlineLevel="0" max="15949" min="15948" style="1" width="11.12"/>
    <col collapsed="false" customWidth="false" hidden="false" outlineLevel="0" max="16146" min="15950" style="1" width="8.88"/>
    <col collapsed="false" customWidth="true" hidden="false" outlineLevel="0" max="16147" min="16147" style="1" width="7.5"/>
    <col collapsed="false" customWidth="true" hidden="false" outlineLevel="0" max="16148" min="16148" style="1" width="7.62"/>
    <col collapsed="false" customWidth="true" hidden="false" outlineLevel="0" max="16151" min="16149" style="1" width="6"/>
    <col collapsed="false" customWidth="true" hidden="false" outlineLevel="0" max="16152" min="16152" style="1" width="6.12"/>
    <col collapsed="false" customWidth="true" hidden="false" outlineLevel="0" max="16155" min="16153" style="1" width="6"/>
    <col collapsed="false" customWidth="true" hidden="true" outlineLevel="0" max="16156" min="16156" style="1" width="10.49"/>
    <col collapsed="false" customWidth="true" hidden="false" outlineLevel="0" max="16162" min="16157" style="1" width="5.5"/>
    <col collapsed="false" customWidth="true" hidden="true" outlineLevel="0" max="16168" min="16163" style="1" width="10.49"/>
    <col collapsed="false" customWidth="true" hidden="false" outlineLevel="0" max="16169" min="16169" style="1" width="6.75"/>
    <col collapsed="false" customWidth="true" hidden="false" outlineLevel="0" max="16171" min="16170" style="1" width="6.25"/>
    <col collapsed="false" customWidth="true" hidden="false" outlineLevel="0" max="16172" min="16172" style="1" width="7.25"/>
    <col collapsed="false" customWidth="true" hidden="true" outlineLevel="0" max="16192" min="16173" style="1" width="10.49"/>
    <col collapsed="false" customWidth="true" hidden="false" outlineLevel="0" max="16193" min="16193" style="1" width="8.38"/>
    <col collapsed="false" customWidth="false" hidden="false" outlineLevel="0" max="16194" min="16194" style="1" width="8.88"/>
    <col collapsed="false" customWidth="true" hidden="false" outlineLevel="0" max="16202" min="16195" style="1" width="16.26"/>
    <col collapsed="false" customWidth="true" hidden="false" outlineLevel="0" max="16203" min="16203" style="1" width="21.88"/>
    <col collapsed="false" customWidth="true" hidden="false" outlineLevel="0" max="16205" min="16204" style="1" width="11.12"/>
    <col collapsed="false" customWidth="false" hidden="false" outlineLevel="0" max="16384" min="16206" style="1" width="8.88"/>
  </cols>
  <sheetData>
    <row r="1" customFormat="false" ht="33" hidden="false" customHeight="true" outlineLevel="0" collapsed="false">
      <c r="A1" s="78" t="s">
        <v>39</v>
      </c>
      <c r="B1" s="78"/>
      <c r="C1" s="78"/>
      <c r="D1" s="78"/>
      <c r="E1" s="79"/>
      <c r="F1" s="80"/>
      <c r="G1" s="80"/>
      <c r="H1" s="80"/>
      <c r="I1" s="80"/>
      <c r="J1" s="81"/>
      <c r="K1" s="82"/>
      <c r="L1" s="82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5" t="s">
        <v>40</v>
      </c>
      <c r="AZ1" s="85" t="s">
        <v>41</v>
      </c>
      <c r="BA1" s="85"/>
      <c r="BB1" s="85" t="s">
        <v>42</v>
      </c>
      <c r="BC1" s="86" t="s">
        <v>43</v>
      </c>
      <c r="BD1" s="86"/>
      <c r="BE1" s="87" t="s">
        <v>44</v>
      </c>
      <c r="BF1" s="87" t="s">
        <v>45</v>
      </c>
      <c r="BG1" s="88" t="s">
        <v>46</v>
      </c>
      <c r="BH1" s="89" t="s">
        <v>47</v>
      </c>
      <c r="BI1" s="90"/>
      <c r="BJ1" s="90"/>
      <c r="BK1" s="90"/>
      <c r="BL1" s="90"/>
      <c r="BM1" s="90"/>
      <c r="BN1" s="90"/>
      <c r="BO1" s="90"/>
    </row>
    <row r="2" customFormat="false" ht="42" hidden="false" customHeight="true" outlineLevel="0" collapsed="false">
      <c r="A2" s="91" t="s">
        <v>48</v>
      </c>
      <c r="B2" s="91"/>
      <c r="C2" s="92" t="s">
        <v>49</v>
      </c>
      <c r="D2" s="92"/>
      <c r="E2" s="92"/>
      <c r="F2" s="92"/>
      <c r="G2" s="92"/>
      <c r="H2" s="92"/>
      <c r="I2" s="92"/>
      <c r="J2" s="92"/>
      <c r="K2" s="92"/>
      <c r="L2" s="92"/>
      <c r="M2" s="93"/>
      <c r="N2" s="93"/>
      <c r="O2" s="93"/>
      <c r="P2" s="93"/>
      <c r="Q2" s="93"/>
      <c r="R2" s="93"/>
      <c r="S2" s="93"/>
      <c r="T2" s="93"/>
      <c r="U2" s="83"/>
      <c r="V2" s="83"/>
      <c r="W2" s="83"/>
      <c r="X2" s="83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4" t="s">
        <v>50</v>
      </c>
      <c r="AZ2" s="86" t="s">
        <v>51</v>
      </c>
      <c r="BA2" s="86"/>
      <c r="BB2" s="70"/>
      <c r="BC2" s="86" t="n">
        <v>1.4</v>
      </c>
      <c r="BD2" s="86"/>
      <c r="BE2" s="95" t="n">
        <v>54</v>
      </c>
      <c r="BF2" s="96"/>
      <c r="BG2" s="97" t="n">
        <v>25</v>
      </c>
      <c r="BH2" s="98" t="e">
        <f aca="false">BG2/BF2</f>
        <v>#DIV/0!</v>
      </c>
      <c r="BI2" s="90"/>
      <c r="BJ2" s="90"/>
      <c r="BK2" s="90"/>
      <c r="BL2" s="90"/>
      <c r="BM2" s="90"/>
      <c r="BN2" s="90"/>
      <c r="BO2" s="90"/>
    </row>
    <row r="3" customFormat="false" ht="30" hidden="false" customHeight="true" outlineLevel="0" collapsed="false">
      <c r="A3" s="78" t="s">
        <v>12</v>
      </c>
      <c r="B3" s="78"/>
      <c r="C3" s="92" t="n">
        <v>90</v>
      </c>
      <c r="D3" s="92" t="n">
        <v>100</v>
      </c>
      <c r="E3" s="92" t="n">
        <v>110</v>
      </c>
      <c r="F3" s="92" t="n">
        <v>120</v>
      </c>
      <c r="G3" s="92" t="n">
        <v>130</v>
      </c>
      <c r="H3" s="92" t="n">
        <v>140</v>
      </c>
      <c r="I3" s="92" t="n">
        <v>150</v>
      </c>
      <c r="J3" s="92" t="s">
        <v>52</v>
      </c>
      <c r="K3" s="92" t="s">
        <v>53</v>
      </c>
      <c r="L3" s="92" t="s">
        <v>54</v>
      </c>
      <c r="M3" s="99" t="s">
        <v>55</v>
      </c>
      <c r="N3" s="99" t="s">
        <v>56</v>
      </c>
      <c r="O3" s="99" t="s">
        <v>57</v>
      </c>
      <c r="P3" s="99" t="s">
        <v>58</v>
      </c>
      <c r="Q3" s="99" t="s">
        <v>59</v>
      </c>
      <c r="R3" s="99" t="s">
        <v>60</v>
      </c>
      <c r="S3" s="99" t="s">
        <v>52</v>
      </c>
      <c r="T3" s="99" t="s">
        <v>53</v>
      </c>
      <c r="U3" s="78" t="n">
        <v>17</v>
      </c>
      <c r="V3" s="78" t="n">
        <v>18</v>
      </c>
      <c r="W3" s="78" t="n">
        <v>19</v>
      </c>
      <c r="X3" s="78" t="n">
        <v>20</v>
      </c>
      <c r="Y3" s="100" t="s">
        <v>61</v>
      </c>
      <c r="Z3" s="101"/>
      <c r="AA3" s="102"/>
      <c r="AB3" s="103"/>
      <c r="AC3" s="103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5" t="s">
        <v>62</v>
      </c>
      <c r="AZ3" s="86" t="s">
        <v>63</v>
      </c>
      <c r="BA3" s="86"/>
      <c r="BB3" s="70"/>
      <c r="BC3" s="86" t="n">
        <v>1.51</v>
      </c>
      <c r="BD3" s="86"/>
      <c r="BE3" s="95" t="n">
        <v>15</v>
      </c>
      <c r="BF3" s="85"/>
      <c r="BG3" s="106" t="n">
        <v>38.3</v>
      </c>
      <c r="BH3" s="98" t="e">
        <f aca="false">BG3/BF3</f>
        <v>#DIV/0!</v>
      </c>
      <c r="BI3" s="107"/>
      <c r="BJ3" s="107"/>
      <c r="BK3" s="107"/>
      <c r="BL3" s="107"/>
      <c r="BM3" s="107"/>
      <c r="BN3" s="107"/>
      <c r="BO3" s="107"/>
    </row>
    <row r="4" customFormat="false" ht="27" hidden="false" customHeight="true" outlineLevel="0" collapsed="false">
      <c r="A4" s="108" t="str">
        <f aca="false">AZ2</f>
        <v>CARO ĐỎ </v>
      </c>
      <c r="B4" s="108"/>
      <c r="C4" s="92" t="n">
        <v>20</v>
      </c>
      <c r="D4" s="92" t="n">
        <v>20</v>
      </c>
      <c r="E4" s="92" t="n">
        <v>20</v>
      </c>
      <c r="F4" s="92" t="n">
        <v>20</v>
      </c>
      <c r="G4" s="92" t="n">
        <v>20</v>
      </c>
      <c r="H4" s="92" t="n">
        <v>20</v>
      </c>
      <c r="I4" s="92" t="n">
        <v>20</v>
      </c>
      <c r="J4" s="92" t="n">
        <v>20</v>
      </c>
      <c r="K4" s="92" t="n">
        <v>20</v>
      </c>
      <c r="L4" s="92" t="n">
        <v>20</v>
      </c>
      <c r="M4" s="92" t="n">
        <v>20</v>
      </c>
      <c r="N4" s="92" t="n">
        <v>20</v>
      </c>
      <c r="O4" s="92" t="n">
        <v>20</v>
      </c>
      <c r="P4" s="92" t="n">
        <v>20</v>
      </c>
      <c r="Q4" s="92" t="n">
        <v>20</v>
      </c>
      <c r="R4" s="92" t="n">
        <v>20</v>
      </c>
      <c r="S4" s="92" t="n">
        <v>20</v>
      </c>
      <c r="T4" s="92" t="n">
        <v>20</v>
      </c>
      <c r="U4" s="92" t="n">
        <v>20</v>
      </c>
      <c r="V4" s="92" t="n">
        <v>20</v>
      </c>
      <c r="W4" s="92" t="n">
        <v>20</v>
      </c>
      <c r="X4" s="92" t="n">
        <v>20</v>
      </c>
      <c r="Y4" s="100" t="n">
        <f aca="false">SUM(C4:T4)</f>
        <v>360</v>
      </c>
      <c r="Z4" s="109"/>
      <c r="AA4" s="109"/>
      <c r="AB4" s="109"/>
      <c r="AC4" s="103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10"/>
      <c r="AZ4" s="86"/>
      <c r="BA4" s="86"/>
      <c r="BB4" s="70"/>
      <c r="BC4" s="86"/>
      <c r="BD4" s="86"/>
      <c r="BE4" s="95"/>
      <c r="BF4" s="96"/>
      <c r="BG4" s="106" t="n">
        <v>38.3</v>
      </c>
      <c r="BH4" s="98" t="e">
        <f aca="false">BG4/BF4</f>
        <v>#DIV/0!</v>
      </c>
      <c r="BI4" s="111"/>
      <c r="BJ4" s="111"/>
      <c r="BK4" s="111"/>
      <c r="BL4" s="111"/>
      <c r="BM4" s="111"/>
      <c r="BN4" s="111"/>
      <c r="BO4" s="111"/>
    </row>
    <row r="5" customFormat="false" ht="27.75" hidden="false" customHeight="true" outlineLevel="0" collapsed="false">
      <c r="A5" s="108"/>
      <c r="B5" s="108"/>
      <c r="C5" s="92"/>
      <c r="D5" s="92"/>
      <c r="E5" s="92"/>
      <c r="F5" s="92"/>
      <c r="G5" s="92"/>
      <c r="H5" s="92"/>
      <c r="I5" s="92"/>
      <c r="J5" s="92"/>
      <c r="K5" s="92"/>
      <c r="L5" s="92"/>
      <c r="M5" s="99"/>
      <c r="N5" s="99"/>
      <c r="O5" s="99"/>
      <c r="P5" s="99"/>
      <c r="Q5" s="99"/>
      <c r="R5" s="99"/>
      <c r="S5" s="99"/>
      <c r="T5" s="99"/>
      <c r="U5" s="112"/>
      <c r="V5" s="112"/>
      <c r="W5" s="112"/>
      <c r="X5" s="112"/>
      <c r="Y5" s="100" t="n">
        <f aca="false">SUM(C5:T5)</f>
        <v>0</v>
      </c>
      <c r="Z5" s="109"/>
      <c r="AA5" s="109"/>
      <c r="AB5" s="109"/>
      <c r="AC5" s="101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85"/>
      <c r="AZ5" s="86"/>
      <c r="BA5" s="86"/>
      <c r="BB5" s="70"/>
      <c r="BC5" s="86"/>
      <c r="BD5" s="86"/>
      <c r="BE5" s="95"/>
      <c r="BF5" s="113"/>
      <c r="BG5" s="97"/>
      <c r="BH5" s="114"/>
      <c r="BI5" s="111"/>
      <c r="BJ5" s="111"/>
      <c r="BK5" s="111"/>
      <c r="BL5" s="111"/>
      <c r="BM5" s="111"/>
      <c r="BN5" s="111"/>
      <c r="BO5" s="111"/>
    </row>
    <row r="6" customFormat="false" ht="32.25" hidden="false" customHeight="true" outlineLevel="0" collapsed="false">
      <c r="A6" s="108"/>
      <c r="B6" s="108"/>
      <c r="C6" s="92"/>
      <c r="D6" s="92"/>
      <c r="E6" s="92"/>
      <c r="F6" s="92"/>
      <c r="G6" s="92"/>
      <c r="H6" s="92"/>
      <c r="I6" s="92"/>
      <c r="J6" s="92"/>
      <c r="K6" s="92"/>
      <c r="L6" s="92"/>
      <c r="M6" s="99"/>
      <c r="N6" s="99"/>
      <c r="O6" s="99"/>
      <c r="P6" s="99"/>
      <c r="Q6" s="99"/>
      <c r="R6" s="99"/>
      <c r="S6" s="99"/>
      <c r="T6" s="99"/>
      <c r="U6" s="115"/>
      <c r="V6" s="115"/>
      <c r="W6" s="115"/>
      <c r="X6" s="116"/>
      <c r="Y6" s="100" t="n">
        <f aca="false">SUM(C6:T6)</f>
        <v>0</v>
      </c>
      <c r="Z6" s="109"/>
      <c r="AA6" s="109"/>
      <c r="AB6" s="109"/>
      <c r="AC6" s="83"/>
      <c r="AD6" s="104"/>
      <c r="AE6" s="117"/>
      <c r="AF6" s="118"/>
      <c r="AG6" s="117"/>
      <c r="AH6" s="118"/>
      <c r="AI6" s="117"/>
      <c r="AJ6" s="118"/>
      <c r="AK6" s="118"/>
      <c r="AL6" s="118"/>
      <c r="AM6" s="117"/>
      <c r="AN6" s="119"/>
      <c r="AO6" s="118"/>
      <c r="AP6" s="118"/>
      <c r="AQ6" s="118"/>
      <c r="AR6" s="118"/>
      <c r="AS6" s="118"/>
      <c r="AT6" s="118"/>
      <c r="AU6" s="118"/>
      <c r="AV6" s="118"/>
      <c r="AW6" s="118"/>
      <c r="AX6" s="117"/>
      <c r="AY6" s="85"/>
      <c r="AZ6" s="86"/>
      <c r="BA6" s="86"/>
      <c r="BB6" s="70"/>
      <c r="BC6" s="86"/>
      <c r="BD6" s="86"/>
      <c r="BE6" s="95"/>
      <c r="BF6" s="120"/>
      <c r="BG6" s="97"/>
      <c r="BH6" s="121"/>
      <c r="BI6" s="117"/>
      <c r="BJ6" s="117"/>
      <c r="BK6" s="117"/>
      <c r="BL6" s="117"/>
      <c r="BM6" s="117"/>
      <c r="BN6" s="117"/>
      <c r="BO6" s="117"/>
    </row>
    <row r="7" customFormat="false" ht="27" hidden="false" customHeight="true" outlineLevel="0" collapsed="false">
      <c r="A7" s="108"/>
      <c r="B7" s="108"/>
      <c r="C7" s="92"/>
      <c r="D7" s="92"/>
      <c r="E7" s="92"/>
      <c r="F7" s="92"/>
      <c r="G7" s="92"/>
      <c r="H7" s="92"/>
      <c r="I7" s="92"/>
      <c r="J7" s="92"/>
      <c r="K7" s="92"/>
      <c r="L7" s="92"/>
      <c r="M7" s="99"/>
      <c r="N7" s="99"/>
      <c r="O7" s="99"/>
      <c r="P7" s="99"/>
      <c r="Q7" s="99"/>
      <c r="R7" s="99"/>
      <c r="S7" s="99"/>
      <c r="T7" s="99"/>
      <c r="U7" s="115"/>
      <c r="V7" s="115"/>
      <c r="W7" s="115"/>
      <c r="X7" s="116"/>
      <c r="Y7" s="100" t="n">
        <f aca="false">SUM(C7:T7)</f>
        <v>0</v>
      </c>
      <c r="Z7" s="122"/>
      <c r="AA7" s="122"/>
      <c r="AB7" s="122"/>
      <c r="AC7" s="83"/>
      <c r="AD7" s="104"/>
      <c r="AE7" s="117"/>
      <c r="AF7" s="118"/>
      <c r="AG7" s="117"/>
      <c r="AH7" s="118"/>
      <c r="AI7" s="117"/>
      <c r="AJ7" s="118"/>
      <c r="AK7" s="118"/>
      <c r="AL7" s="118"/>
      <c r="AM7" s="117"/>
      <c r="AN7" s="119"/>
      <c r="AO7" s="118"/>
      <c r="AP7" s="118"/>
      <c r="AQ7" s="118"/>
      <c r="AR7" s="118"/>
      <c r="AS7" s="118"/>
      <c r="AT7" s="118"/>
      <c r="AU7" s="118"/>
      <c r="AV7" s="118"/>
      <c r="AW7" s="118"/>
      <c r="AX7" s="117"/>
      <c r="AY7" s="123"/>
      <c r="AZ7" s="123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</row>
    <row r="8" customFormat="false" ht="32.25" hidden="true" customHeight="true" outlineLevel="0" collapsed="false">
      <c r="A8" s="108"/>
      <c r="B8" s="108"/>
      <c r="C8" s="92"/>
      <c r="D8" s="92"/>
      <c r="E8" s="92"/>
      <c r="F8" s="92"/>
      <c r="G8" s="92"/>
      <c r="H8" s="92"/>
      <c r="I8" s="92"/>
      <c r="J8" s="92"/>
      <c r="K8" s="92"/>
      <c r="L8" s="92"/>
      <c r="M8" s="99"/>
      <c r="N8" s="99"/>
      <c r="O8" s="99"/>
      <c r="P8" s="99"/>
      <c r="Q8" s="99"/>
      <c r="R8" s="99"/>
      <c r="S8" s="99"/>
      <c r="T8" s="99"/>
      <c r="U8" s="115"/>
      <c r="V8" s="115"/>
      <c r="W8" s="115"/>
      <c r="X8" s="116"/>
      <c r="Y8" s="100" t="n">
        <f aca="false">SUM(C8:T8)</f>
        <v>0</v>
      </c>
      <c r="Z8" s="101"/>
      <c r="AA8" s="83"/>
      <c r="AB8" s="83"/>
      <c r="AC8" s="83"/>
      <c r="AD8" s="104"/>
      <c r="AE8" s="117"/>
      <c r="AF8" s="118"/>
      <c r="AG8" s="117"/>
      <c r="AH8" s="118"/>
      <c r="AI8" s="117"/>
      <c r="AJ8" s="118"/>
      <c r="AK8" s="118"/>
      <c r="AL8" s="118"/>
      <c r="AM8" s="117"/>
      <c r="AN8" s="119"/>
      <c r="AO8" s="118"/>
      <c r="AP8" s="118"/>
      <c r="AQ8" s="118"/>
      <c r="AR8" s="118"/>
      <c r="AS8" s="118"/>
      <c r="AT8" s="118"/>
      <c r="AU8" s="118"/>
      <c r="AV8" s="118"/>
      <c r="AW8" s="118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</row>
    <row r="9" customFormat="false" ht="32.25" hidden="true" customHeight="true" outlineLevel="0" collapsed="false">
      <c r="A9" s="124"/>
      <c r="B9" s="125"/>
      <c r="C9" s="92"/>
      <c r="D9" s="92"/>
      <c r="E9" s="92"/>
      <c r="F9" s="92"/>
      <c r="G9" s="92"/>
      <c r="H9" s="92"/>
      <c r="I9" s="92"/>
      <c r="J9" s="92"/>
      <c r="K9" s="92"/>
      <c r="L9" s="92"/>
      <c r="M9" s="99"/>
      <c r="N9" s="99"/>
      <c r="O9" s="99"/>
      <c r="P9" s="99"/>
      <c r="Q9" s="99"/>
      <c r="R9" s="99"/>
      <c r="S9" s="99"/>
      <c r="T9" s="99"/>
      <c r="U9" s="115"/>
      <c r="V9" s="115"/>
      <c r="W9" s="115"/>
      <c r="X9" s="116"/>
      <c r="Y9" s="100"/>
      <c r="Z9" s="101"/>
      <c r="AA9" s="83"/>
      <c r="AB9" s="83"/>
      <c r="AC9" s="83"/>
      <c r="AD9" s="104"/>
      <c r="AE9" s="117"/>
      <c r="AF9" s="118"/>
      <c r="AG9" s="117"/>
      <c r="AH9" s="118"/>
      <c r="AI9" s="117"/>
      <c r="AJ9" s="118"/>
      <c r="AK9" s="118"/>
      <c r="AL9" s="118"/>
      <c r="AM9" s="117"/>
      <c r="AN9" s="119"/>
      <c r="AO9" s="118"/>
      <c r="AP9" s="118"/>
      <c r="AQ9" s="118"/>
      <c r="AR9" s="118"/>
      <c r="AS9" s="118"/>
      <c r="AT9" s="118"/>
      <c r="AU9" s="118"/>
      <c r="AV9" s="118"/>
      <c r="AW9" s="118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</row>
    <row r="10" customFormat="false" ht="32.25" hidden="true" customHeight="true" outlineLevel="0" collapsed="false">
      <c r="A10" s="124"/>
      <c r="B10" s="125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9"/>
      <c r="N10" s="99"/>
      <c r="O10" s="99"/>
      <c r="P10" s="99"/>
      <c r="Q10" s="99"/>
      <c r="R10" s="99"/>
      <c r="S10" s="99"/>
      <c r="T10" s="99"/>
      <c r="U10" s="115"/>
      <c r="V10" s="115"/>
      <c r="W10" s="115"/>
      <c r="X10" s="116"/>
      <c r="Y10" s="100"/>
      <c r="Z10" s="101"/>
      <c r="AA10" s="83"/>
      <c r="AB10" s="83"/>
      <c r="AC10" s="83"/>
      <c r="AD10" s="104"/>
      <c r="AE10" s="117"/>
      <c r="AF10" s="118"/>
      <c r="AG10" s="117"/>
      <c r="AH10" s="118"/>
      <c r="AI10" s="117"/>
      <c r="AJ10" s="118"/>
      <c r="AK10" s="118"/>
      <c r="AL10" s="118"/>
      <c r="AM10" s="117"/>
      <c r="AN10" s="119"/>
      <c r="AO10" s="118"/>
      <c r="AP10" s="118"/>
      <c r="AQ10" s="118"/>
      <c r="AR10" s="118"/>
      <c r="AS10" s="118"/>
      <c r="AT10" s="118"/>
      <c r="AU10" s="118"/>
      <c r="AV10" s="118"/>
      <c r="AW10" s="118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</row>
    <row r="11" customFormat="false" ht="32.25" hidden="true" customHeight="true" outlineLevel="0" collapsed="false">
      <c r="A11" s="124"/>
      <c r="B11" s="125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9"/>
      <c r="N11" s="99"/>
      <c r="O11" s="99"/>
      <c r="P11" s="99"/>
      <c r="Q11" s="99"/>
      <c r="R11" s="99"/>
      <c r="S11" s="99"/>
      <c r="T11" s="99"/>
      <c r="U11" s="115"/>
      <c r="V11" s="115"/>
      <c r="W11" s="115"/>
      <c r="X11" s="116"/>
      <c r="Y11" s="100"/>
      <c r="Z11" s="101"/>
      <c r="AA11" s="83"/>
      <c r="AB11" s="83"/>
      <c r="AC11" s="83"/>
      <c r="AD11" s="104"/>
      <c r="AE11" s="117"/>
      <c r="AF11" s="118"/>
      <c r="AG11" s="117"/>
      <c r="AH11" s="118"/>
      <c r="AI11" s="117"/>
      <c r="AJ11" s="118"/>
      <c r="AK11" s="118"/>
      <c r="AL11" s="118"/>
      <c r="AM11" s="117"/>
      <c r="AN11" s="119"/>
      <c r="AO11" s="118"/>
      <c r="AP11" s="118"/>
      <c r="AQ11" s="118"/>
      <c r="AR11" s="118"/>
      <c r="AS11" s="118"/>
      <c r="AT11" s="118"/>
      <c r="AU11" s="118"/>
      <c r="AV11" s="118"/>
      <c r="AW11" s="118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</row>
    <row r="12" customFormat="false" ht="32.25" hidden="true" customHeight="true" outlineLevel="0" collapsed="false">
      <c r="A12" s="124"/>
      <c r="B12" s="125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9"/>
      <c r="N12" s="99"/>
      <c r="O12" s="99"/>
      <c r="P12" s="99"/>
      <c r="Q12" s="99"/>
      <c r="R12" s="99"/>
      <c r="S12" s="99"/>
      <c r="T12" s="99"/>
      <c r="U12" s="115"/>
      <c r="V12" s="115"/>
      <c r="W12" s="115"/>
      <c r="X12" s="116"/>
      <c r="Y12" s="100"/>
      <c r="Z12" s="101"/>
      <c r="AA12" s="83"/>
      <c r="AB12" s="83"/>
      <c r="AC12" s="83"/>
      <c r="AD12" s="104"/>
      <c r="AE12" s="117"/>
      <c r="AF12" s="118"/>
      <c r="AG12" s="117"/>
      <c r="AH12" s="118"/>
      <c r="AI12" s="117"/>
      <c r="AJ12" s="118"/>
      <c r="AK12" s="118"/>
      <c r="AL12" s="118"/>
      <c r="AM12" s="117"/>
      <c r="AN12" s="119"/>
      <c r="AO12" s="118"/>
      <c r="AP12" s="118"/>
      <c r="AQ12" s="118"/>
      <c r="AR12" s="118"/>
      <c r="AS12" s="118"/>
      <c r="AT12" s="118"/>
      <c r="AU12" s="118"/>
      <c r="AV12" s="118"/>
      <c r="AW12" s="118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</row>
    <row r="13" customFormat="false" ht="15" hidden="false" customHeight="false" outlineLevel="0" collapsed="false">
      <c r="A13" s="78" t="s">
        <v>61</v>
      </c>
      <c r="B13" s="78"/>
      <c r="C13" s="126" t="n">
        <f aca="false">SUM(C4:C8)</f>
        <v>20</v>
      </c>
      <c r="D13" s="126" t="n">
        <f aca="false">SUM(D4:D8)</f>
        <v>20</v>
      </c>
      <c r="E13" s="126" t="n">
        <f aca="false">SUM(E4:E8)</f>
        <v>20</v>
      </c>
      <c r="F13" s="126" t="n">
        <f aca="false">SUM(F4:F8)</f>
        <v>20</v>
      </c>
      <c r="G13" s="126" t="n">
        <f aca="false">SUM(G4:G8)</f>
        <v>20</v>
      </c>
      <c r="H13" s="126" t="n">
        <f aca="false">SUM(H4:H8)</f>
        <v>20</v>
      </c>
      <c r="I13" s="126" t="n">
        <f aca="false">SUM(I4:I8)</f>
        <v>20</v>
      </c>
      <c r="J13" s="126" t="n">
        <f aca="false">SUM(J4:J8)</f>
        <v>20</v>
      </c>
      <c r="K13" s="126" t="n">
        <f aca="false">SUM(K4:K8)</f>
        <v>20</v>
      </c>
      <c r="L13" s="126" t="n">
        <f aca="false">SUM(L4:L8)</f>
        <v>20</v>
      </c>
      <c r="M13" s="127" t="n">
        <f aca="false">SUM(M4:M12)</f>
        <v>20</v>
      </c>
      <c r="N13" s="127" t="n">
        <f aca="false">SUM(N4:N12)</f>
        <v>20</v>
      </c>
      <c r="O13" s="127" t="n">
        <f aca="false">SUM(O4:O12)</f>
        <v>20</v>
      </c>
      <c r="P13" s="127" t="n">
        <f aca="false">SUM(P4:P12)</f>
        <v>20</v>
      </c>
      <c r="Q13" s="127" t="n">
        <f aca="false">SUM(Q4:Q12)</f>
        <v>20</v>
      </c>
      <c r="R13" s="127" t="n">
        <f aca="false">SUM(R4:R12)</f>
        <v>20</v>
      </c>
      <c r="S13" s="127" t="n">
        <f aca="false">SUM(S4:S12)</f>
        <v>20</v>
      </c>
      <c r="T13" s="127" t="n">
        <f aca="false">SUM(T4:T12)</f>
        <v>20</v>
      </c>
      <c r="U13" s="115" t="n">
        <f aca="false">SUM(U4:U12)</f>
        <v>20</v>
      </c>
      <c r="V13" s="115" t="n">
        <f aca="false">SUM(V4:V12)</f>
        <v>20</v>
      </c>
      <c r="W13" s="115" t="n">
        <f aca="false">SUM(W4:W12)</f>
        <v>20</v>
      </c>
      <c r="X13" s="116" t="n">
        <f aca="false">SUM(X4:X12)</f>
        <v>20</v>
      </c>
      <c r="Y13" s="128" t="n">
        <f aca="false">SUM(C13:T13)</f>
        <v>360</v>
      </c>
      <c r="Z13" s="129" t="n">
        <v>2</v>
      </c>
      <c r="AA13" s="130"/>
      <c r="AB13" s="130"/>
      <c r="AC13" s="130"/>
      <c r="AD13" s="131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3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</row>
    <row r="14" customFormat="false" ht="15" hidden="false" customHeight="false" outlineLevel="0" collapsed="false">
      <c r="A14" s="135"/>
      <c r="B14" s="135"/>
      <c r="C14" s="135"/>
      <c r="D14" s="136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1"/>
      <c r="Z14" s="131"/>
      <c r="AA14" s="131"/>
      <c r="AB14" s="131"/>
      <c r="AC14" s="131"/>
      <c r="AD14" s="131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3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</row>
    <row r="15" customFormat="false" ht="31.5" hidden="false" customHeight="true" outlineLevel="0" collapsed="false">
      <c r="A15" s="138" t="n">
        <v>1</v>
      </c>
      <c r="B15" s="139" t="s">
        <v>64</v>
      </c>
      <c r="C15" s="139"/>
      <c r="D15" s="139"/>
      <c r="E15" s="139"/>
      <c r="F15" s="139" t="s">
        <v>65</v>
      </c>
      <c r="G15" s="139"/>
      <c r="H15" s="140" t="n">
        <f aca="false">E1</f>
        <v>0</v>
      </c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1" t="s">
        <v>66</v>
      </c>
      <c r="AB15" s="142" t="n">
        <f aca="false">AZ27/AY27</f>
        <v>0.34</v>
      </c>
      <c r="AC15" s="142"/>
      <c r="AD15" s="143"/>
      <c r="AE15" s="143"/>
      <c r="AF15" s="143"/>
      <c r="AG15" s="144"/>
      <c r="AH15" s="143"/>
      <c r="AI15" s="143"/>
      <c r="AJ15" s="143"/>
      <c r="AK15" s="145"/>
      <c r="AL15" s="145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 t="n">
        <f aca="false">AB15*1.03</f>
        <v>0.3502</v>
      </c>
      <c r="AZ15" s="144" t="s">
        <v>67</v>
      </c>
      <c r="BA15" s="64"/>
      <c r="BB15" s="64"/>
      <c r="BC15" s="146"/>
      <c r="BD15" s="146"/>
      <c r="BE15" s="146"/>
      <c r="BG15" s="146"/>
      <c r="BH15" s="146"/>
      <c r="BI15" s="146"/>
      <c r="BJ15" s="146"/>
      <c r="BK15" s="146"/>
      <c r="BL15" s="146"/>
      <c r="BM15" s="146"/>
      <c r="BN15" s="147"/>
      <c r="BO15" s="147"/>
      <c r="BP15" s="147"/>
      <c r="BQ15" s="148"/>
      <c r="BR15" s="149"/>
      <c r="BS15" s="149"/>
      <c r="BT15" s="149"/>
      <c r="BU15" s="149"/>
      <c r="BV15" s="149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1"/>
      <c r="CO15" s="152"/>
      <c r="CP15" s="153"/>
      <c r="CQ15" s="153"/>
      <c r="CR15" s="153"/>
      <c r="CS15" s="146"/>
      <c r="CT15" s="153"/>
      <c r="CU15" s="153"/>
      <c r="CV15" s="153"/>
      <c r="CW15" s="154"/>
      <c r="CX15" s="152"/>
      <c r="CY15" s="152"/>
      <c r="CZ15" s="152"/>
      <c r="DA15" s="152"/>
      <c r="DB15" s="152"/>
      <c r="DC15" s="152"/>
      <c r="DD15" s="152"/>
      <c r="DE15" s="152"/>
      <c r="DF15" s="152"/>
      <c r="DG15" s="152"/>
      <c r="DH15" s="152"/>
      <c r="DI15" s="152"/>
      <c r="DJ15" s="152"/>
      <c r="DK15" s="146"/>
    </row>
    <row r="16" customFormat="false" ht="14.25" hidden="false" customHeight="true" outlineLevel="0" collapsed="false">
      <c r="A16" s="138"/>
      <c r="B16" s="138"/>
      <c r="C16" s="138"/>
      <c r="D16" s="138"/>
      <c r="E16" s="138"/>
      <c r="F16" s="139"/>
      <c r="G16" s="139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1"/>
      <c r="AB16" s="143" t="n">
        <f aca="false">AB15/0.9144</f>
        <v>0.371828521434821</v>
      </c>
      <c r="AC16" s="143"/>
      <c r="AD16" s="155"/>
      <c r="AE16" s="155"/>
      <c r="AF16" s="155"/>
      <c r="AG16" s="142"/>
      <c r="AH16" s="155"/>
      <c r="AI16" s="155"/>
      <c r="AJ16" s="155"/>
      <c r="AK16" s="145"/>
      <c r="AL16" s="145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 t="n">
        <f aca="false">AY15/0.9144</f>
        <v>0.382983377077865</v>
      </c>
      <c r="AZ16" s="142" t="s">
        <v>68</v>
      </c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Q16" s="156"/>
      <c r="BR16" s="157"/>
      <c r="BS16" s="157"/>
      <c r="BT16" s="157"/>
      <c r="BU16" s="149"/>
      <c r="BV16" s="149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1"/>
      <c r="CO16" s="158"/>
      <c r="CP16" s="159"/>
      <c r="CQ16" s="159"/>
      <c r="CR16" s="159"/>
      <c r="CS16" s="152"/>
      <c r="CT16" s="159"/>
      <c r="CU16" s="159"/>
      <c r="CV16" s="159"/>
      <c r="CW16" s="154"/>
      <c r="CX16" s="152"/>
      <c r="CY16" s="152"/>
      <c r="CZ16" s="152"/>
      <c r="DA16" s="152"/>
      <c r="DB16" s="152"/>
      <c r="DC16" s="152"/>
      <c r="DD16" s="152"/>
      <c r="DE16" s="152"/>
      <c r="DF16" s="152"/>
      <c r="DG16" s="152"/>
      <c r="DH16" s="152"/>
      <c r="DI16" s="152"/>
      <c r="DJ16" s="152"/>
      <c r="DK16" s="152"/>
    </row>
    <row r="17" customFormat="false" ht="15" hidden="false" customHeight="true" outlineLevel="0" collapsed="false">
      <c r="A17" s="160" t="s">
        <v>69</v>
      </c>
      <c r="B17" s="161"/>
      <c r="C17" s="162"/>
      <c r="D17" s="162" t="str">
        <f aca="false">C2</f>
        <v>DR01</v>
      </c>
      <c r="E17" s="162"/>
      <c r="F17" s="162"/>
      <c r="G17" s="162"/>
      <c r="H17" s="162"/>
      <c r="I17" s="162"/>
      <c r="J17" s="162"/>
      <c r="K17" s="162"/>
      <c r="L17" s="162"/>
      <c r="M17" s="163" t="n">
        <f aca="false">M2</f>
        <v>0</v>
      </c>
      <c r="N17" s="163"/>
      <c r="O17" s="163"/>
      <c r="P17" s="163"/>
      <c r="Q17" s="163"/>
      <c r="R17" s="163"/>
      <c r="S17" s="163"/>
      <c r="T17" s="163"/>
      <c r="U17" s="164"/>
      <c r="V17" s="164"/>
      <c r="W17" s="164"/>
      <c r="X17" s="165"/>
      <c r="Y17" s="112" t="s">
        <v>70</v>
      </c>
      <c r="Z17" s="166" t="s">
        <v>71</v>
      </c>
      <c r="AA17" s="166" t="s">
        <v>72</v>
      </c>
      <c r="AB17" s="166" t="s">
        <v>72</v>
      </c>
      <c r="AC17" s="167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12" t="s">
        <v>73</v>
      </c>
      <c r="AZ17" s="166" t="s">
        <v>74</v>
      </c>
      <c r="BA17" s="146"/>
      <c r="BB17" s="146"/>
      <c r="BC17" s="146"/>
      <c r="BD17" s="146"/>
      <c r="BE17" s="146"/>
      <c r="BF17" s="146"/>
      <c r="BG17" s="146"/>
      <c r="BI17" s="146"/>
      <c r="BJ17" s="146"/>
      <c r="BK17" s="146"/>
      <c r="BL17" s="146"/>
      <c r="BM17" s="146"/>
      <c r="BN17" s="146"/>
      <c r="BQ17" s="149"/>
      <c r="BR17" s="152"/>
      <c r="BS17" s="169"/>
      <c r="BT17" s="169"/>
      <c r="BU17" s="169"/>
      <c r="BV17" s="169"/>
      <c r="BW17" s="169"/>
      <c r="BX17" s="169"/>
      <c r="BY17" s="169"/>
      <c r="BZ17" s="169"/>
      <c r="CA17" s="149"/>
      <c r="CB17" s="149"/>
      <c r="CC17" s="149"/>
      <c r="CD17" s="149"/>
      <c r="CE17" s="149"/>
      <c r="CF17" s="170"/>
      <c r="CG17" s="170"/>
      <c r="CH17" s="170"/>
      <c r="CI17" s="170"/>
      <c r="CJ17" s="170"/>
      <c r="CK17" s="170"/>
      <c r="CL17" s="152"/>
      <c r="CM17" s="146"/>
      <c r="CN17" s="146"/>
      <c r="CO17" s="146"/>
      <c r="CP17" s="152"/>
      <c r="CQ17" s="152"/>
      <c r="CR17" s="152"/>
      <c r="CS17" s="152"/>
      <c r="CT17" s="152"/>
      <c r="CU17" s="152"/>
      <c r="CV17" s="152"/>
      <c r="CW17" s="152"/>
      <c r="CX17" s="152"/>
      <c r="CY17" s="152"/>
      <c r="CZ17" s="152"/>
      <c r="DA17" s="152"/>
      <c r="DB17" s="152"/>
      <c r="DC17" s="152"/>
      <c r="DD17" s="152"/>
      <c r="DE17" s="152"/>
      <c r="DF17" s="152"/>
      <c r="DG17" s="152"/>
      <c r="DH17" s="152"/>
      <c r="DI17" s="152"/>
      <c r="DJ17" s="152"/>
      <c r="DK17" s="146"/>
    </row>
    <row r="18" customFormat="false" ht="14.25" hidden="false" customHeight="true" outlineLevel="0" collapsed="false">
      <c r="A18" s="160"/>
      <c r="B18" s="171" t="s">
        <v>12</v>
      </c>
      <c r="C18" s="172" t="n">
        <f aca="false">C3</f>
        <v>90</v>
      </c>
      <c r="D18" s="172" t="n">
        <f aca="false">D3</f>
        <v>100</v>
      </c>
      <c r="E18" s="92" t="n">
        <f aca="false">E3</f>
        <v>110</v>
      </c>
      <c r="F18" s="92" t="n">
        <f aca="false">F3</f>
        <v>120</v>
      </c>
      <c r="G18" s="92" t="n">
        <f aca="false">G3</f>
        <v>130</v>
      </c>
      <c r="H18" s="92" t="n">
        <f aca="false">H3</f>
        <v>140</v>
      </c>
      <c r="I18" s="92" t="n">
        <f aca="false">I3</f>
        <v>150</v>
      </c>
      <c r="J18" s="92" t="str">
        <f aca="false">J3</f>
        <v>4XL</v>
      </c>
      <c r="K18" s="92" t="str">
        <f aca="false">K3</f>
        <v>5XL</v>
      </c>
      <c r="L18" s="92" t="str">
        <f aca="false">L3</f>
        <v>7XL</v>
      </c>
      <c r="M18" s="99" t="str">
        <f aca="false">M3</f>
        <v>S</v>
      </c>
      <c r="N18" s="99" t="str">
        <f aca="false">N3</f>
        <v>M</v>
      </c>
      <c r="O18" s="99" t="str">
        <f aca="false">O3</f>
        <v>L</v>
      </c>
      <c r="P18" s="99" t="str">
        <f aca="false">P3</f>
        <v>XL</v>
      </c>
      <c r="Q18" s="99" t="str">
        <f aca="false">Q3</f>
        <v>2XL</v>
      </c>
      <c r="R18" s="99" t="str">
        <f aca="false">R3</f>
        <v>3XL</v>
      </c>
      <c r="S18" s="99" t="str">
        <f aca="false">S3</f>
        <v>4XL</v>
      </c>
      <c r="T18" s="99" t="str">
        <f aca="false">T3</f>
        <v>5XL</v>
      </c>
      <c r="U18" s="120" t="n">
        <f aca="false">U3</f>
        <v>17</v>
      </c>
      <c r="V18" s="120" t="n">
        <f aca="false">V3</f>
        <v>18</v>
      </c>
      <c r="W18" s="120" t="n">
        <f aca="false">W3</f>
        <v>19</v>
      </c>
      <c r="X18" s="120" t="n">
        <f aca="false">X3</f>
        <v>20</v>
      </c>
      <c r="Y18" s="173" t="s">
        <v>75</v>
      </c>
      <c r="Z18" s="174" t="s">
        <v>76</v>
      </c>
      <c r="AA18" s="174" t="s">
        <v>76</v>
      </c>
      <c r="AB18" s="174" t="s">
        <v>77</v>
      </c>
      <c r="AC18" s="175" t="n">
        <f aca="false">C18</f>
        <v>90</v>
      </c>
      <c r="AD18" s="175" t="n">
        <f aca="false">D18</f>
        <v>100</v>
      </c>
      <c r="AE18" s="175" t="n">
        <f aca="false">E18</f>
        <v>110</v>
      </c>
      <c r="AF18" s="175" t="n">
        <f aca="false">F18</f>
        <v>120</v>
      </c>
      <c r="AG18" s="175" t="n">
        <f aca="false">G18</f>
        <v>130</v>
      </c>
      <c r="AH18" s="175" t="n">
        <f aca="false">H18</f>
        <v>140</v>
      </c>
      <c r="AI18" s="175" t="n">
        <f aca="false">I18</f>
        <v>150</v>
      </c>
      <c r="AJ18" s="175" t="str">
        <f aca="false">J18</f>
        <v>4XL</v>
      </c>
      <c r="AK18" s="175" t="str">
        <f aca="false">K18</f>
        <v>5XL</v>
      </c>
      <c r="AL18" s="175" t="str">
        <f aca="false">L3</f>
        <v>7XL</v>
      </c>
      <c r="AM18" s="175" t="str">
        <f aca="false">M18</f>
        <v>S</v>
      </c>
      <c r="AN18" s="175" t="str">
        <f aca="false">N18</f>
        <v>M</v>
      </c>
      <c r="AO18" s="175" t="str">
        <f aca="false">O18</f>
        <v>L</v>
      </c>
      <c r="AP18" s="175" t="str">
        <f aca="false">P18</f>
        <v>XL</v>
      </c>
      <c r="AQ18" s="175" t="str">
        <f aca="false">Q18</f>
        <v>2XL</v>
      </c>
      <c r="AR18" s="175" t="str">
        <f aca="false">R18</f>
        <v>3XL</v>
      </c>
      <c r="AS18" s="175" t="str">
        <f aca="false">S18</f>
        <v>4XL</v>
      </c>
      <c r="AT18" s="175" t="str">
        <f aca="false">T18</f>
        <v>5XL</v>
      </c>
      <c r="AU18" s="175" t="n">
        <f aca="false">U18</f>
        <v>17</v>
      </c>
      <c r="AV18" s="175" t="n">
        <f aca="false">V18</f>
        <v>18</v>
      </c>
      <c r="AW18" s="175" t="n">
        <f aca="false">W18</f>
        <v>19</v>
      </c>
      <c r="AX18" s="175" t="n">
        <f aca="false">X18</f>
        <v>20</v>
      </c>
      <c r="AY18" s="176" t="n">
        <f aca="false">SUM(AD19:AX19)</f>
        <v>420</v>
      </c>
      <c r="AZ18" s="174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Q18" s="149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70"/>
      <c r="CG18" s="170"/>
      <c r="CH18" s="170"/>
      <c r="CI18" s="170"/>
      <c r="CJ18" s="170"/>
      <c r="CK18" s="170"/>
      <c r="CL18" s="149"/>
      <c r="CM18" s="147"/>
      <c r="CN18" s="147"/>
      <c r="CO18" s="147"/>
      <c r="CP18" s="152"/>
      <c r="CQ18" s="152"/>
      <c r="CR18" s="152"/>
      <c r="CS18" s="152"/>
      <c r="CT18" s="152"/>
      <c r="CU18" s="152"/>
      <c r="CV18" s="152"/>
      <c r="CW18" s="152"/>
      <c r="CX18" s="152"/>
      <c r="CY18" s="152"/>
      <c r="CZ18" s="152"/>
      <c r="DA18" s="152"/>
      <c r="DB18" s="152"/>
      <c r="DC18" s="152"/>
      <c r="DD18" s="152"/>
      <c r="DE18" s="152"/>
      <c r="DF18" s="152"/>
      <c r="DG18" s="152"/>
      <c r="DH18" s="152"/>
      <c r="DI18" s="152"/>
      <c r="DJ18" s="150"/>
      <c r="DK18" s="147"/>
    </row>
    <row r="19" customFormat="false" ht="14.25" hidden="false" customHeight="true" outlineLevel="0" collapsed="false">
      <c r="A19" s="160"/>
      <c r="B19" s="160" t="s">
        <v>78</v>
      </c>
      <c r="C19" s="177" t="n">
        <f aca="false">C13</f>
        <v>20</v>
      </c>
      <c r="D19" s="177" t="n">
        <f aca="false">D13</f>
        <v>20</v>
      </c>
      <c r="E19" s="177" t="n">
        <f aca="false">E13</f>
        <v>20</v>
      </c>
      <c r="F19" s="177" t="n">
        <f aca="false">F13</f>
        <v>20</v>
      </c>
      <c r="G19" s="177" t="n">
        <f aca="false">G13</f>
        <v>20</v>
      </c>
      <c r="H19" s="177" t="n">
        <f aca="false">H13</f>
        <v>20</v>
      </c>
      <c r="I19" s="177" t="n">
        <f aca="false">I13</f>
        <v>20</v>
      </c>
      <c r="J19" s="177" t="n">
        <f aca="false">J13</f>
        <v>20</v>
      </c>
      <c r="K19" s="177" t="n">
        <f aca="false">K13</f>
        <v>20</v>
      </c>
      <c r="L19" s="177" t="n">
        <f aca="false">L13</f>
        <v>20</v>
      </c>
      <c r="M19" s="178" t="n">
        <f aca="false">M13</f>
        <v>20</v>
      </c>
      <c r="N19" s="178" t="n">
        <f aca="false">N13</f>
        <v>20</v>
      </c>
      <c r="O19" s="178" t="n">
        <f aca="false">O4</f>
        <v>20</v>
      </c>
      <c r="P19" s="178" t="n">
        <f aca="false">P4</f>
        <v>20</v>
      </c>
      <c r="Q19" s="178" t="n">
        <f aca="false">Q4</f>
        <v>20</v>
      </c>
      <c r="R19" s="178" t="n">
        <f aca="false">R4</f>
        <v>20</v>
      </c>
      <c r="S19" s="178" t="n">
        <f aca="false">S4</f>
        <v>20</v>
      </c>
      <c r="T19" s="178" t="n">
        <f aca="false">T4</f>
        <v>20</v>
      </c>
      <c r="U19" s="179" t="n">
        <f aca="false">U4</f>
        <v>20</v>
      </c>
      <c r="V19" s="179" t="n">
        <f aca="false">V4</f>
        <v>20</v>
      </c>
      <c r="W19" s="179" t="n">
        <f aca="false">W4</f>
        <v>20</v>
      </c>
      <c r="X19" s="179" t="n">
        <f aca="false">X4</f>
        <v>20</v>
      </c>
      <c r="Y19" s="173"/>
      <c r="Z19" s="174"/>
      <c r="AA19" s="174"/>
      <c r="AB19" s="174"/>
      <c r="AC19" s="180" t="n">
        <f aca="false">C19</f>
        <v>20</v>
      </c>
      <c r="AD19" s="180" t="n">
        <f aca="false">D19</f>
        <v>20</v>
      </c>
      <c r="AE19" s="180" t="n">
        <f aca="false">E19</f>
        <v>20</v>
      </c>
      <c r="AF19" s="180" t="n">
        <f aca="false">F19</f>
        <v>20</v>
      </c>
      <c r="AG19" s="180" t="n">
        <f aca="false">G19</f>
        <v>20</v>
      </c>
      <c r="AH19" s="180" t="n">
        <f aca="false">H19</f>
        <v>20</v>
      </c>
      <c r="AI19" s="180" t="n">
        <f aca="false">I19</f>
        <v>20</v>
      </c>
      <c r="AJ19" s="180" t="n">
        <f aca="false">J19</f>
        <v>20</v>
      </c>
      <c r="AK19" s="180" t="n">
        <f aca="false">K19</f>
        <v>20</v>
      </c>
      <c r="AL19" s="181" t="n">
        <f aca="false">L19</f>
        <v>20</v>
      </c>
      <c r="AM19" s="180" t="n">
        <f aca="false">M19</f>
        <v>20</v>
      </c>
      <c r="AN19" s="180" t="n">
        <f aca="false">N19</f>
        <v>20</v>
      </c>
      <c r="AO19" s="180" t="n">
        <f aca="false">O19</f>
        <v>20</v>
      </c>
      <c r="AP19" s="180" t="n">
        <f aca="false">P19</f>
        <v>20</v>
      </c>
      <c r="AQ19" s="180" t="n">
        <f aca="false">Q19</f>
        <v>20</v>
      </c>
      <c r="AR19" s="180" t="n">
        <f aca="false">R19</f>
        <v>20</v>
      </c>
      <c r="AS19" s="180" t="n">
        <f aca="false">S19</f>
        <v>20</v>
      </c>
      <c r="AT19" s="180" t="n">
        <f aca="false">T19</f>
        <v>20</v>
      </c>
      <c r="AU19" s="180" t="n">
        <f aca="false">U19</f>
        <v>20</v>
      </c>
      <c r="AV19" s="180" t="n">
        <f aca="false">V19</f>
        <v>20</v>
      </c>
      <c r="AW19" s="180" t="n">
        <f aca="false">W19</f>
        <v>20</v>
      </c>
      <c r="AX19" s="180" t="n">
        <f aca="false">X19</f>
        <v>20</v>
      </c>
      <c r="AY19" s="176"/>
      <c r="AZ19" s="174"/>
      <c r="BA19" s="146"/>
      <c r="BB19" s="146"/>
      <c r="BC19" s="146"/>
      <c r="BE19" s="146"/>
      <c r="BF19" s="146"/>
      <c r="BG19" s="146"/>
      <c r="BH19" s="146"/>
      <c r="BI19" s="146"/>
      <c r="BJ19" s="146"/>
      <c r="BK19" s="146"/>
      <c r="BL19" s="146"/>
      <c r="BM19" s="146"/>
      <c r="BN19" s="146"/>
      <c r="BO19" s="146"/>
      <c r="BQ19" s="149"/>
      <c r="BR19" s="152"/>
      <c r="BS19" s="182"/>
      <c r="BT19" s="182"/>
      <c r="BU19" s="182"/>
      <c r="BV19" s="182"/>
      <c r="BW19" s="182"/>
      <c r="BX19" s="182"/>
      <c r="BY19" s="182"/>
      <c r="BZ19" s="182"/>
      <c r="CA19" s="182"/>
      <c r="CB19" s="182"/>
      <c r="CC19" s="182"/>
      <c r="CD19" s="182"/>
      <c r="CE19" s="182"/>
      <c r="CF19" s="183"/>
      <c r="CG19" s="183"/>
      <c r="CH19" s="183"/>
      <c r="CI19" s="183"/>
      <c r="CJ19" s="183"/>
      <c r="CK19" s="183"/>
      <c r="CL19" s="149"/>
      <c r="CM19" s="147"/>
      <c r="CN19" s="147"/>
      <c r="CO19" s="147"/>
      <c r="CP19" s="152"/>
      <c r="CQ19" s="152"/>
      <c r="CR19" s="152"/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0"/>
      <c r="DK19" s="147"/>
    </row>
    <row r="20" s="198" customFormat="true" ht="12.75" hidden="false" customHeight="true" outlineLevel="0" collapsed="false">
      <c r="A20" s="184"/>
      <c r="B20" s="185" t="n">
        <v>20</v>
      </c>
      <c r="C20" s="186" t="n">
        <v>1</v>
      </c>
      <c r="D20" s="186" t="n">
        <v>1</v>
      </c>
      <c r="E20" s="186" t="n">
        <v>1</v>
      </c>
      <c r="F20" s="186" t="n">
        <v>1</v>
      </c>
      <c r="G20" s="186" t="n">
        <v>1</v>
      </c>
      <c r="H20" s="186" t="n">
        <v>1</v>
      </c>
      <c r="I20" s="186" t="n">
        <v>1</v>
      </c>
      <c r="J20" s="187"/>
      <c r="K20" s="187"/>
      <c r="L20" s="187"/>
      <c r="M20" s="188"/>
      <c r="N20" s="188"/>
      <c r="O20" s="188"/>
      <c r="P20" s="188"/>
      <c r="Q20" s="188"/>
      <c r="R20" s="188"/>
      <c r="S20" s="188"/>
      <c r="T20" s="188"/>
      <c r="U20" s="189"/>
      <c r="V20" s="189"/>
      <c r="W20" s="189"/>
      <c r="X20" s="189"/>
      <c r="Y20" s="189" t="n">
        <f aca="false">SUM(D20:X20)</f>
        <v>6</v>
      </c>
      <c r="Z20" s="190" t="n">
        <v>140</v>
      </c>
      <c r="AA20" s="191" t="n">
        <v>3.7</v>
      </c>
      <c r="AB20" s="192" t="n">
        <f aca="false">AA20+0.04</f>
        <v>3.74</v>
      </c>
      <c r="AC20" s="193" t="n">
        <f aca="false">C20*B20</f>
        <v>20</v>
      </c>
      <c r="AD20" s="193" t="n">
        <f aca="false">D20*B20</f>
        <v>20</v>
      </c>
      <c r="AE20" s="193" t="n">
        <f aca="false">E20*B20</f>
        <v>20</v>
      </c>
      <c r="AF20" s="193" t="n">
        <f aca="false">F20*B20</f>
        <v>20</v>
      </c>
      <c r="AG20" s="193" t="n">
        <f aca="false">G20*B20</f>
        <v>20</v>
      </c>
      <c r="AH20" s="193" t="n">
        <f aca="false">H20*B20</f>
        <v>20</v>
      </c>
      <c r="AI20" s="193" t="n">
        <f aca="false">I20*B20</f>
        <v>20</v>
      </c>
      <c r="AJ20" s="193" t="n">
        <f aca="false">J20*B20</f>
        <v>0</v>
      </c>
      <c r="AK20" s="193" t="n">
        <f aca="false">K20*B20</f>
        <v>0</v>
      </c>
      <c r="AL20" s="193" t="n">
        <f aca="false">L20*C20</f>
        <v>0</v>
      </c>
      <c r="AM20" s="193" t="n">
        <f aca="false">M20*B20</f>
        <v>0</v>
      </c>
      <c r="AN20" s="193" t="n">
        <f aca="false">N20*B20</f>
        <v>0</v>
      </c>
      <c r="AO20" s="193" t="n">
        <f aca="false">O20*B20</f>
        <v>0</v>
      </c>
      <c r="AP20" s="193" t="n">
        <f aca="false">P20*B20</f>
        <v>0</v>
      </c>
      <c r="AQ20" s="193" t="n">
        <f aca="false">Q20*B20</f>
        <v>0</v>
      </c>
      <c r="AR20" s="193" t="n">
        <f aca="false">R20*B20</f>
        <v>0</v>
      </c>
      <c r="AS20" s="193" t="n">
        <f aca="false">S20*B20</f>
        <v>0</v>
      </c>
      <c r="AT20" s="193" t="n">
        <f aca="false">T20*B20</f>
        <v>0</v>
      </c>
      <c r="AU20" s="193" t="n">
        <f aca="false">U20*B20</f>
        <v>0</v>
      </c>
      <c r="AV20" s="193" t="n">
        <f aca="false">V20*B20</f>
        <v>0</v>
      </c>
      <c r="AW20" s="193" t="n">
        <f aca="false">W20*B20</f>
        <v>0</v>
      </c>
      <c r="AX20" s="193" t="n">
        <f aca="false">X20*B20</f>
        <v>0</v>
      </c>
      <c r="AY20" s="193" t="n">
        <f aca="false">SUM(AC20:AX20)</f>
        <v>140</v>
      </c>
      <c r="AZ20" s="192" t="n">
        <f aca="false">AB20*B20</f>
        <v>74.8</v>
      </c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5"/>
      <c r="BQ20" s="170"/>
      <c r="BR20" s="130"/>
      <c r="BS20" s="131"/>
      <c r="BT20" s="131"/>
      <c r="BU20" s="131"/>
      <c r="BV20" s="131"/>
      <c r="BW20" s="131"/>
      <c r="BX20" s="170"/>
      <c r="BY20" s="170"/>
      <c r="BZ20" s="170"/>
      <c r="CA20" s="170"/>
      <c r="CB20" s="170"/>
      <c r="CC20" s="170"/>
      <c r="CD20" s="170"/>
      <c r="CE20" s="170"/>
      <c r="CF20" s="170"/>
      <c r="CG20" s="170"/>
      <c r="CH20" s="170"/>
      <c r="CI20" s="170"/>
      <c r="CJ20" s="170"/>
      <c r="CK20" s="170"/>
      <c r="CL20" s="170"/>
      <c r="CM20" s="196"/>
      <c r="CN20" s="197"/>
      <c r="CO20" s="194"/>
      <c r="CP20" s="183"/>
      <c r="CQ20" s="183"/>
      <c r="CR20" s="183"/>
      <c r="CS20" s="183"/>
      <c r="CT20" s="183"/>
      <c r="CU20" s="183"/>
      <c r="CV20" s="183"/>
      <c r="CW20" s="183"/>
      <c r="CX20" s="183"/>
      <c r="CY20" s="183"/>
      <c r="CZ20" s="183"/>
      <c r="DA20" s="183"/>
      <c r="DB20" s="183"/>
      <c r="DC20" s="183"/>
      <c r="DD20" s="183"/>
      <c r="DE20" s="183"/>
      <c r="DF20" s="183"/>
      <c r="DG20" s="183"/>
      <c r="DH20" s="183"/>
      <c r="DI20" s="183"/>
      <c r="DJ20" s="183"/>
      <c r="DK20" s="194"/>
    </row>
    <row r="21" s="198" customFormat="true" ht="12.75" hidden="false" customHeight="true" outlineLevel="0" collapsed="false">
      <c r="A21" s="184"/>
      <c r="B21" s="185"/>
      <c r="C21" s="186"/>
      <c r="D21" s="186"/>
      <c r="E21" s="186"/>
      <c r="F21" s="186"/>
      <c r="G21" s="186"/>
      <c r="H21" s="186"/>
      <c r="I21" s="186"/>
      <c r="J21" s="187"/>
      <c r="K21" s="187"/>
      <c r="L21" s="187"/>
      <c r="M21" s="188"/>
      <c r="N21" s="188"/>
      <c r="O21" s="188"/>
      <c r="P21" s="188"/>
      <c r="Q21" s="188"/>
      <c r="R21" s="188"/>
      <c r="S21" s="188"/>
      <c r="T21" s="188"/>
      <c r="U21" s="189"/>
      <c r="V21" s="189"/>
      <c r="W21" s="189"/>
      <c r="X21" s="189"/>
      <c r="Y21" s="189" t="n">
        <f aca="false">SUM(D21:X21)</f>
        <v>0</v>
      </c>
      <c r="Z21" s="190" t="n">
        <v>170</v>
      </c>
      <c r="AA21" s="191" t="n">
        <v>2.83</v>
      </c>
      <c r="AB21" s="192" t="n">
        <f aca="false">AA21+0.04</f>
        <v>2.87</v>
      </c>
      <c r="AC21" s="193" t="n">
        <f aca="false">C21*B21</f>
        <v>0</v>
      </c>
      <c r="AD21" s="193" t="n">
        <f aca="false">D21*B21</f>
        <v>0</v>
      </c>
      <c r="AE21" s="193" t="n">
        <f aca="false">E21*B21</f>
        <v>0</v>
      </c>
      <c r="AF21" s="193" t="n">
        <f aca="false">F21*B21</f>
        <v>0</v>
      </c>
      <c r="AG21" s="193" t="n">
        <f aca="false">G21*B21</f>
        <v>0</v>
      </c>
      <c r="AH21" s="193" t="n">
        <f aca="false">H21*B21</f>
        <v>0</v>
      </c>
      <c r="AI21" s="193" t="n">
        <f aca="false">I21*B21</f>
        <v>0</v>
      </c>
      <c r="AJ21" s="193" t="n">
        <f aca="false">J21*B21</f>
        <v>0</v>
      </c>
      <c r="AK21" s="193" t="n">
        <f aca="false">K21*B21</f>
        <v>0</v>
      </c>
      <c r="AL21" s="193" t="n">
        <f aca="false">L21*C21</f>
        <v>0</v>
      </c>
      <c r="AM21" s="193" t="n">
        <f aca="false">M21*B21</f>
        <v>0</v>
      </c>
      <c r="AN21" s="193" t="n">
        <f aca="false">N21*B21</f>
        <v>0</v>
      </c>
      <c r="AO21" s="193" t="n">
        <f aca="false">O21*B21</f>
        <v>0</v>
      </c>
      <c r="AP21" s="193" t="n">
        <f aca="false">P21*B21</f>
        <v>0</v>
      </c>
      <c r="AQ21" s="193" t="n">
        <f aca="false">Q21*B21</f>
        <v>0</v>
      </c>
      <c r="AR21" s="193" t="n">
        <f aca="false">R21*B21</f>
        <v>0</v>
      </c>
      <c r="AS21" s="193" t="n">
        <f aca="false">S21*B21</f>
        <v>0</v>
      </c>
      <c r="AT21" s="193" t="n">
        <f aca="false">T21*B21</f>
        <v>0</v>
      </c>
      <c r="AU21" s="193" t="n">
        <f aca="false">U21*B21</f>
        <v>0</v>
      </c>
      <c r="AV21" s="193" t="n">
        <f aca="false">V21*B21</f>
        <v>0</v>
      </c>
      <c r="AW21" s="193" t="n">
        <f aca="false">W21*B21</f>
        <v>0</v>
      </c>
      <c r="AX21" s="193" t="n">
        <f aca="false">X21*B21</f>
        <v>0</v>
      </c>
      <c r="AY21" s="193" t="n">
        <f aca="false">SUM(AC21:AX21)</f>
        <v>0</v>
      </c>
      <c r="AZ21" s="192" t="n">
        <f aca="false">AB21*B21</f>
        <v>0</v>
      </c>
      <c r="BA21" s="194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5"/>
      <c r="BQ21" s="170"/>
      <c r="BR21" s="130"/>
      <c r="BS21" s="170"/>
      <c r="BT21" s="170"/>
      <c r="BU21" s="170"/>
      <c r="BV21" s="170"/>
      <c r="BW21" s="170"/>
      <c r="BX21" s="170"/>
      <c r="BY21" s="170"/>
      <c r="BZ21" s="170"/>
      <c r="CA21" s="170"/>
      <c r="CB21" s="170"/>
      <c r="CC21" s="170"/>
      <c r="CD21" s="170"/>
      <c r="CE21" s="170"/>
      <c r="CF21" s="170"/>
      <c r="CG21" s="170"/>
      <c r="CH21" s="170"/>
      <c r="CI21" s="170"/>
      <c r="CJ21" s="170"/>
      <c r="CK21" s="170"/>
      <c r="CL21" s="170"/>
      <c r="CM21" s="196"/>
      <c r="CN21" s="197"/>
      <c r="CO21" s="194"/>
      <c r="CP21" s="183"/>
      <c r="CQ21" s="183"/>
      <c r="CR21" s="183"/>
      <c r="CS21" s="183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83"/>
      <c r="DJ21" s="183"/>
      <c r="DK21" s="194"/>
    </row>
    <row r="22" customFormat="false" ht="12.75" hidden="false" customHeight="true" outlineLevel="0" collapsed="false">
      <c r="A22" s="189"/>
      <c r="B22" s="185"/>
      <c r="C22" s="186"/>
      <c r="D22" s="186"/>
      <c r="E22" s="186"/>
      <c r="F22" s="186"/>
      <c r="G22" s="186"/>
      <c r="H22" s="186"/>
      <c r="I22" s="187"/>
      <c r="J22" s="187"/>
      <c r="K22" s="187"/>
      <c r="L22" s="187"/>
      <c r="M22" s="188"/>
      <c r="N22" s="188"/>
      <c r="O22" s="188"/>
      <c r="P22" s="188"/>
      <c r="Q22" s="188"/>
      <c r="R22" s="188"/>
      <c r="S22" s="188"/>
      <c r="T22" s="188"/>
      <c r="U22" s="189"/>
      <c r="V22" s="189"/>
      <c r="W22" s="189"/>
      <c r="X22" s="189"/>
      <c r="Y22" s="189" t="n">
        <f aca="false">SUM(D22:X22)</f>
        <v>0</v>
      </c>
      <c r="Z22" s="190"/>
      <c r="AA22" s="191"/>
      <c r="AB22" s="192" t="n">
        <f aca="false">AA22+0.04</f>
        <v>0.04</v>
      </c>
      <c r="AC22" s="193" t="n">
        <f aca="false">C22*B22</f>
        <v>0</v>
      </c>
      <c r="AD22" s="193" t="n">
        <f aca="false">D22*B22</f>
        <v>0</v>
      </c>
      <c r="AE22" s="193" t="n">
        <f aca="false">E22*B22</f>
        <v>0</v>
      </c>
      <c r="AF22" s="193" t="n">
        <f aca="false">F22*B22</f>
        <v>0</v>
      </c>
      <c r="AG22" s="193" t="n">
        <f aca="false">G22*B22</f>
        <v>0</v>
      </c>
      <c r="AH22" s="193" t="n">
        <f aca="false">H22*B22</f>
        <v>0</v>
      </c>
      <c r="AI22" s="193" t="n">
        <f aca="false">I22*B22</f>
        <v>0</v>
      </c>
      <c r="AJ22" s="193" t="n">
        <f aca="false">J22*B22</f>
        <v>0</v>
      </c>
      <c r="AK22" s="193" t="n">
        <f aca="false">K22*B22</f>
        <v>0</v>
      </c>
      <c r="AL22" s="193" t="n">
        <f aca="false">L22*C22</f>
        <v>0</v>
      </c>
      <c r="AM22" s="193" t="n">
        <f aca="false">M22*B22</f>
        <v>0</v>
      </c>
      <c r="AN22" s="193" t="n">
        <f aca="false">N22*B22</f>
        <v>0</v>
      </c>
      <c r="AO22" s="193" t="n">
        <f aca="false">O22*B22</f>
        <v>0</v>
      </c>
      <c r="AP22" s="193" t="n">
        <f aca="false">P22*B22</f>
        <v>0</v>
      </c>
      <c r="AQ22" s="193" t="n">
        <f aca="false">Q22*B22</f>
        <v>0</v>
      </c>
      <c r="AR22" s="193" t="n">
        <f aca="false">R22*B22</f>
        <v>0</v>
      </c>
      <c r="AS22" s="193" t="n">
        <f aca="false">S22*B22</f>
        <v>0</v>
      </c>
      <c r="AT22" s="193" t="n">
        <f aca="false">T22*B22</f>
        <v>0</v>
      </c>
      <c r="AU22" s="193" t="n">
        <f aca="false">U22*B22</f>
        <v>0</v>
      </c>
      <c r="AV22" s="193" t="n">
        <f aca="false">V22*B22</f>
        <v>0</v>
      </c>
      <c r="AW22" s="193" t="n">
        <f aca="false">W22*B22</f>
        <v>0</v>
      </c>
      <c r="AX22" s="193" t="n">
        <f aca="false">X22*B22</f>
        <v>0</v>
      </c>
      <c r="AY22" s="193" t="n">
        <f aca="false">SUM(AC22:AX22)</f>
        <v>0</v>
      </c>
      <c r="AZ22" s="192" t="n">
        <f aca="false">AB22*B22</f>
        <v>0</v>
      </c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Q22" s="170"/>
      <c r="BR22" s="130"/>
      <c r="BS22" s="131"/>
      <c r="BT22" s="131"/>
      <c r="BU22" s="131"/>
      <c r="BV22" s="131"/>
      <c r="BW22" s="131"/>
      <c r="BX22" s="170"/>
      <c r="BY22" s="170"/>
      <c r="BZ22" s="170"/>
      <c r="CA22" s="170"/>
      <c r="CB22" s="170"/>
      <c r="CC22" s="170"/>
      <c r="CD22" s="170"/>
      <c r="CE22" s="170"/>
      <c r="CF22" s="170"/>
      <c r="CG22" s="170"/>
      <c r="CH22" s="170"/>
      <c r="CI22" s="170"/>
      <c r="CJ22" s="170"/>
      <c r="CK22" s="170"/>
      <c r="CL22" s="170"/>
      <c r="CM22" s="196"/>
      <c r="CN22" s="197"/>
      <c r="CO22" s="194"/>
      <c r="CP22" s="183"/>
      <c r="CQ22" s="183"/>
      <c r="CR22" s="183"/>
      <c r="CS22" s="183"/>
      <c r="CT22" s="183"/>
      <c r="CU22" s="183"/>
      <c r="CV22" s="183"/>
      <c r="CW22" s="183"/>
      <c r="CX22" s="183"/>
      <c r="CY22" s="183"/>
      <c r="CZ22" s="183"/>
      <c r="DA22" s="183"/>
      <c r="DB22" s="183"/>
      <c r="DC22" s="183"/>
      <c r="DD22" s="183"/>
      <c r="DE22" s="183"/>
      <c r="DF22" s="183"/>
      <c r="DG22" s="183"/>
      <c r="DH22" s="183"/>
      <c r="DI22" s="183"/>
      <c r="DJ22" s="183"/>
      <c r="DK22" s="194"/>
    </row>
    <row r="23" customFormat="false" ht="12.75" hidden="false" customHeight="true" outlineLevel="0" collapsed="false">
      <c r="A23" s="189"/>
      <c r="B23" s="185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8"/>
      <c r="N23" s="188"/>
      <c r="O23" s="188"/>
      <c r="P23" s="188"/>
      <c r="Q23" s="188"/>
      <c r="R23" s="188"/>
      <c r="S23" s="188"/>
      <c r="T23" s="188"/>
      <c r="U23" s="189"/>
      <c r="V23" s="189"/>
      <c r="W23" s="189"/>
      <c r="X23" s="189"/>
      <c r="Y23" s="189" t="n">
        <f aca="false">SUM(D23:X23)</f>
        <v>0</v>
      </c>
      <c r="Z23" s="190"/>
      <c r="AA23" s="191"/>
      <c r="AB23" s="192" t="n">
        <f aca="false">AA23+0.04</f>
        <v>0.04</v>
      </c>
      <c r="AC23" s="193" t="n">
        <f aca="false">C23*B23</f>
        <v>0</v>
      </c>
      <c r="AD23" s="193" t="n">
        <f aca="false">D23*B23</f>
        <v>0</v>
      </c>
      <c r="AE23" s="193" t="n">
        <f aca="false">E23*B23</f>
        <v>0</v>
      </c>
      <c r="AF23" s="193" t="n">
        <f aca="false">F23*B23</f>
        <v>0</v>
      </c>
      <c r="AG23" s="193" t="n">
        <f aca="false">G23*B23</f>
        <v>0</v>
      </c>
      <c r="AH23" s="193" t="n">
        <f aca="false">H23*B23</f>
        <v>0</v>
      </c>
      <c r="AI23" s="193" t="n">
        <f aca="false">I23*B23</f>
        <v>0</v>
      </c>
      <c r="AJ23" s="193" t="n">
        <f aca="false">J23*B23</f>
        <v>0</v>
      </c>
      <c r="AK23" s="193" t="n">
        <f aca="false">K23*B23</f>
        <v>0</v>
      </c>
      <c r="AL23" s="193" t="n">
        <f aca="false">L23*C23</f>
        <v>0</v>
      </c>
      <c r="AM23" s="193" t="n">
        <f aca="false">M23*B23</f>
        <v>0</v>
      </c>
      <c r="AN23" s="193" t="n">
        <f aca="false">N23*B23</f>
        <v>0</v>
      </c>
      <c r="AO23" s="193" t="n">
        <f aca="false">O23*B23</f>
        <v>0</v>
      </c>
      <c r="AP23" s="193" t="n">
        <f aca="false">P23*B23</f>
        <v>0</v>
      </c>
      <c r="AQ23" s="193" t="n">
        <f aca="false">Q23*B23</f>
        <v>0</v>
      </c>
      <c r="AR23" s="193" t="n">
        <f aca="false">R23*B23</f>
        <v>0</v>
      </c>
      <c r="AS23" s="193" t="n">
        <f aca="false">S23*B23</f>
        <v>0</v>
      </c>
      <c r="AT23" s="193" t="n">
        <f aca="false">T23*B23</f>
        <v>0</v>
      </c>
      <c r="AU23" s="193" t="n">
        <f aca="false">U23*B23</f>
        <v>0</v>
      </c>
      <c r="AV23" s="193" t="n">
        <f aca="false">V23*B23</f>
        <v>0</v>
      </c>
      <c r="AW23" s="193" t="n">
        <f aca="false">W23*B23</f>
        <v>0</v>
      </c>
      <c r="AX23" s="193" t="n">
        <f aca="false">X23*B23</f>
        <v>0</v>
      </c>
      <c r="AY23" s="193" t="n">
        <f aca="false">SUM(AC23:AX23)</f>
        <v>0</v>
      </c>
      <c r="AZ23" s="192" t="n">
        <f aca="false">AB23*B23</f>
        <v>0</v>
      </c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Q23" s="170"/>
      <c r="BR23" s="13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170"/>
      <c r="CI23" s="170"/>
      <c r="CJ23" s="170"/>
      <c r="CK23" s="170"/>
      <c r="CL23" s="170"/>
      <c r="CM23" s="196"/>
      <c r="CN23" s="197"/>
      <c r="CO23" s="194"/>
      <c r="CP23" s="183"/>
      <c r="CQ23" s="183"/>
      <c r="CR23" s="183"/>
      <c r="CS23" s="183"/>
      <c r="CT23" s="183"/>
      <c r="CU23" s="183"/>
      <c r="CV23" s="183"/>
      <c r="CW23" s="183"/>
      <c r="CX23" s="183"/>
      <c r="CY23" s="183"/>
      <c r="CZ23" s="183"/>
      <c r="DA23" s="183"/>
      <c r="DB23" s="183"/>
      <c r="DC23" s="183"/>
      <c r="DD23" s="183"/>
      <c r="DE23" s="183"/>
      <c r="DF23" s="183"/>
      <c r="DG23" s="183"/>
      <c r="DH23" s="183"/>
      <c r="DI23" s="183"/>
      <c r="DJ23" s="183"/>
      <c r="DK23" s="194"/>
    </row>
    <row r="24" customFormat="false" ht="12.75" hidden="false" customHeight="true" outlineLevel="0" collapsed="false">
      <c r="A24" s="189"/>
      <c r="B24" s="185"/>
      <c r="C24" s="186"/>
      <c r="D24" s="186"/>
      <c r="E24" s="186"/>
      <c r="F24" s="186"/>
      <c r="G24" s="186"/>
      <c r="H24" s="186"/>
      <c r="I24" s="187"/>
      <c r="J24" s="187"/>
      <c r="K24" s="187"/>
      <c r="L24" s="187"/>
      <c r="M24" s="188"/>
      <c r="N24" s="188"/>
      <c r="O24" s="188"/>
      <c r="P24" s="188"/>
      <c r="Q24" s="188"/>
      <c r="R24" s="188"/>
      <c r="S24" s="188"/>
      <c r="T24" s="188"/>
      <c r="U24" s="189"/>
      <c r="V24" s="189"/>
      <c r="W24" s="189"/>
      <c r="X24" s="189"/>
      <c r="Y24" s="189" t="n">
        <f aca="false">SUM(D24:X24)</f>
        <v>0</v>
      </c>
      <c r="Z24" s="190"/>
      <c r="AA24" s="191"/>
      <c r="AB24" s="192" t="n">
        <f aca="false">AA24+0.04</f>
        <v>0.04</v>
      </c>
      <c r="AC24" s="193" t="n">
        <f aca="false">C24*B24</f>
        <v>0</v>
      </c>
      <c r="AD24" s="193" t="n">
        <f aca="false">D24*B24</f>
        <v>0</v>
      </c>
      <c r="AE24" s="193" t="n">
        <f aca="false">E24*B24</f>
        <v>0</v>
      </c>
      <c r="AF24" s="193" t="n">
        <f aca="false">F24*B24</f>
        <v>0</v>
      </c>
      <c r="AG24" s="193" t="n">
        <f aca="false">G24*B24</f>
        <v>0</v>
      </c>
      <c r="AH24" s="193" t="n">
        <f aca="false">H24*B24</f>
        <v>0</v>
      </c>
      <c r="AI24" s="193" t="n">
        <f aca="false">I24*B24</f>
        <v>0</v>
      </c>
      <c r="AJ24" s="193" t="n">
        <f aca="false">J24*B24</f>
        <v>0</v>
      </c>
      <c r="AK24" s="193" t="n">
        <f aca="false">K24*B24</f>
        <v>0</v>
      </c>
      <c r="AL24" s="193" t="n">
        <f aca="false">L24*C24</f>
        <v>0</v>
      </c>
      <c r="AM24" s="193" t="n">
        <f aca="false">M24*B24</f>
        <v>0</v>
      </c>
      <c r="AN24" s="193" t="n">
        <f aca="false">N24*B24</f>
        <v>0</v>
      </c>
      <c r="AO24" s="193" t="n">
        <f aca="false">O24*B24</f>
        <v>0</v>
      </c>
      <c r="AP24" s="193" t="n">
        <f aca="false">P24*B24</f>
        <v>0</v>
      </c>
      <c r="AQ24" s="193" t="n">
        <f aca="false">Q24*B24</f>
        <v>0</v>
      </c>
      <c r="AR24" s="193" t="n">
        <f aca="false">R24*B24</f>
        <v>0</v>
      </c>
      <c r="AS24" s="193" t="n">
        <f aca="false">S24*B24</f>
        <v>0</v>
      </c>
      <c r="AT24" s="193" t="n">
        <f aca="false">T24*B24</f>
        <v>0</v>
      </c>
      <c r="AU24" s="193" t="n">
        <f aca="false">U24*B24</f>
        <v>0</v>
      </c>
      <c r="AV24" s="193" t="n">
        <f aca="false">V24*B24</f>
        <v>0</v>
      </c>
      <c r="AW24" s="193" t="n">
        <f aca="false">W24*B24</f>
        <v>0</v>
      </c>
      <c r="AX24" s="193" t="n">
        <f aca="false">X24*B24</f>
        <v>0</v>
      </c>
      <c r="AY24" s="193" t="n">
        <f aca="false">SUM(AC24:AX24)</f>
        <v>0</v>
      </c>
      <c r="AZ24" s="192" t="n">
        <f aca="false">AB24*B24</f>
        <v>0</v>
      </c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Q24" s="170"/>
      <c r="BR24" s="130"/>
      <c r="BS24" s="131"/>
      <c r="BT24" s="131"/>
      <c r="BU24" s="131"/>
      <c r="BV24" s="131"/>
      <c r="BW24" s="131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96"/>
      <c r="CN24" s="197"/>
      <c r="CO24" s="194"/>
      <c r="CP24" s="183"/>
      <c r="CQ24" s="183"/>
      <c r="CR24" s="183"/>
      <c r="CS24" s="183"/>
      <c r="CT24" s="183"/>
      <c r="CU24" s="183"/>
      <c r="CV24" s="183"/>
      <c r="CW24" s="183"/>
      <c r="CX24" s="183"/>
      <c r="CY24" s="183"/>
      <c r="CZ24" s="183"/>
      <c r="DA24" s="183"/>
      <c r="DB24" s="183"/>
      <c r="DC24" s="183"/>
      <c r="DD24" s="183"/>
      <c r="DE24" s="183"/>
      <c r="DF24" s="183"/>
      <c r="DG24" s="183"/>
      <c r="DH24" s="183"/>
      <c r="DI24" s="183"/>
      <c r="DJ24" s="183"/>
      <c r="DK24" s="194"/>
    </row>
    <row r="25" customFormat="false" ht="12.75" hidden="false" customHeight="true" outlineLevel="0" collapsed="false">
      <c r="A25" s="189"/>
      <c r="B25" s="185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8"/>
      <c r="N25" s="188"/>
      <c r="O25" s="188"/>
      <c r="P25" s="188"/>
      <c r="Q25" s="188"/>
      <c r="R25" s="188"/>
      <c r="S25" s="188"/>
      <c r="T25" s="188"/>
      <c r="U25" s="189"/>
      <c r="V25" s="189"/>
      <c r="W25" s="189"/>
      <c r="X25" s="189"/>
      <c r="Y25" s="189" t="n">
        <f aca="false">SUM(D25:X25)</f>
        <v>0</v>
      </c>
      <c r="Z25" s="190"/>
      <c r="AA25" s="191"/>
      <c r="AB25" s="192" t="n">
        <f aca="false">AA25+0.04</f>
        <v>0.04</v>
      </c>
      <c r="AC25" s="193" t="n">
        <f aca="false">C25*B25</f>
        <v>0</v>
      </c>
      <c r="AD25" s="193" t="n">
        <f aca="false">D25*B25</f>
        <v>0</v>
      </c>
      <c r="AE25" s="193" t="n">
        <f aca="false">E25*B25</f>
        <v>0</v>
      </c>
      <c r="AF25" s="193" t="n">
        <f aca="false">F25*B25</f>
        <v>0</v>
      </c>
      <c r="AG25" s="193" t="n">
        <f aca="false">G25*B25</f>
        <v>0</v>
      </c>
      <c r="AH25" s="193" t="n">
        <f aca="false">H25*B25</f>
        <v>0</v>
      </c>
      <c r="AI25" s="193" t="n">
        <f aca="false">I25*B25</f>
        <v>0</v>
      </c>
      <c r="AJ25" s="193" t="n">
        <f aca="false">J25*B25</f>
        <v>0</v>
      </c>
      <c r="AK25" s="193" t="n">
        <f aca="false">K25*B25</f>
        <v>0</v>
      </c>
      <c r="AL25" s="193" t="n">
        <f aca="false">L25*C25</f>
        <v>0</v>
      </c>
      <c r="AM25" s="193" t="n">
        <f aca="false">M25*B25</f>
        <v>0</v>
      </c>
      <c r="AN25" s="193" t="n">
        <f aca="false">N25*B25</f>
        <v>0</v>
      </c>
      <c r="AO25" s="193" t="n">
        <f aca="false">O25*B25</f>
        <v>0</v>
      </c>
      <c r="AP25" s="193" t="n">
        <f aca="false">P25*B25</f>
        <v>0</v>
      </c>
      <c r="AQ25" s="193" t="n">
        <f aca="false">Q25*B25</f>
        <v>0</v>
      </c>
      <c r="AR25" s="193" t="n">
        <f aca="false">R25*B25</f>
        <v>0</v>
      </c>
      <c r="AS25" s="193" t="n">
        <f aca="false">S25*B25</f>
        <v>0</v>
      </c>
      <c r="AT25" s="193" t="n">
        <f aca="false">T25*B25</f>
        <v>0</v>
      </c>
      <c r="AU25" s="193" t="n">
        <f aca="false">U25*B25</f>
        <v>0</v>
      </c>
      <c r="AV25" s="193" t="n">
        <f aca="false">V25*B25</f>
        <v>0</v>
      </c>
      <c r="AW25" s="193" t="n">
        <f aca="false">W25*B25</f>
        <v>0</v>
      </c>
      <c r="AX25" s="193" t="n">
        <f aca="false">X25*B25</f>
        <v>0</v>
      </c>
      <c r="AY25" s="193" t="n">
        <f aca="false">SUM(AC25:AX25)</f>
        <v>0</v>
      </c>
      <c r="AZ25" s="192" t="n">
        <f aca="false">AB25*B25</f>
        <v>0</v>
      </c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Q25" s="170"/>
      <c r="BR25" s="130"/>
      <c r="BS25" s="170"/>
      <c r="BT25" s="170"/>
      <c r="BU25" s="170"/>
      <c r="BV25" s="170"/>
      <c r="BW25" s="170"/>
      <c r="BX25" s="170"/>
      <c r="BY25" s="170"/>
      <c r="BZ25" s="170"/>
      <c r="CA25" s="170"/>
      <c r="CB25" s="170"/>
      <c r="CC25" s="170"/>
      <c r="CD25" s="170"/>
      <c r="CE25" s="170"/>
      <c r="CF25" s="170"/>
      <c r="CG25" s="170"/>
      <c r="CH25" s="170"/>
      <c r="CI25" s="170"/>
      <c r="CJ25" s="170"/>
      <c r="CK25" s="170"/>
      <c r="CL25" s="170"/>
      <c r="CM25" s="196"/>
      <c r="CN25" s="197"/>
      <c r="CO25" s="194"/>
      <c r="CP25" s="183"/>
      <c r="CQ25" s="183"/>
      <c r="CR25" s="183"/>
      <c r="CS25" s="183"/>
      <c r="CT25" s="183"/>
      <c r="CU25" s="183"/>
      <c r="CV25" s="183"/>
      <c r="CW25" s="183"/>
      <c r="CX25" s="183"/>
      <c r="CY25" s="183"/>
      <c r="CZ25" s="183"/>
      <c r="DA25" s="183"/>
      <c r="DB25" s="183"/>
      <c r="DC25" s="183"/>
      <c r="DD25" s="183"/>
      <c r="DE25" s="183"/>
      <c r="DF25" s="183"/>
      <c r="DG25" s="183"/>
      <c r="DH25" s="183"/>
      <c r="DI25" s="183"/>
      <c r="DJ25" s="183"/>
      <c r="DK25" s="194"/>
    </row>
    <row r="26" customFormat="false" ht="12.75" hidden="false" customHeight="true" outlineLevel="0" collapsed="false">
      <c r="A26" s="189"/>
      <c r="B26" s="185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8"/>
      <c r="N26" s="188"/>
      <c r="O26" s="188"/>
      <c r="P26" s="188"/>
      <c r="Q26" s="188"/>
      <c r="R26" s="188"/>
      <c r="S26" s="188"/>
      <c r="T26" s="188"/>
      <c r="U26" s="189"/>
      <c r="V26" s="189"/>
      <c r="W26" s="189"/>
      <c r="X26" s="189"/>
      <c r="Y26" s="189" t="n">
        <f aca="false">SUM(D26:X26)</f>
        <v>0</v>
      </c>
      <c r="Z26" s="190"/>
      <c r="AA26" s="191"/>
      <c r="AB26" s="192" t="n">
        <f aca="false">AA26+0.04</f>
        <v>0.04</v>
      </c>
      <c r="AC26" s="193" t="n">
        <f aca="false">C26*B26</f>
        <v>0</v>
      </c>
      <c r="AD26" s="193" t="n">
        <f aca="false">D26*B26</f>
        <v>0</v>
      </c>
      <c r="AE26" s="193" t="n">
        <f aca="false">E26*B26</f>
        <v>0</v>
      </c>
      <c r="AF26" s="193" t="n">
        <f aca="false">F26*B26</f>
        <v>0</v>
      </c>
      <c r="AG26" s="193" t="n">
        <f aca="false">G26*B26</f>
        <v>0</v>
      </c>
      <c r="AH26" s="193" t="n">
        <f aca="false">H26*B26</f>
        <v>0</v>
      </c>
      <c r="AI26" s="193" t="n">
        <f aca="false">I26*B26</f>
        <v>0</v>
      </c>
      <c r="AJ26" s="193" t="n">
        <f aca="false">J26*B26</f>
        <v>0</v>
      </c>
      <c r="AK26" s="193" t="n">
        <f aca="false">K26*B26</f>
        <v>0</v>
      </c>
      <c r="AL26" s="193" t="n">
        <f aca="false">L26*C26</f>
        <v>0</v>
      </c>
      <c r="AM26" s="193" t="n">
        <f aca="false">M26*B26</f>
        <v>0</v>
      </c>
      <c r="AN26" s="193" t="n">
        <f aca="false">N26*B26</f>
        <v>0</v>
      </c>
      <c r="AO26" s="193" t="n">
        <f aca="false">O26*B26</f>
        <v>0</v>
      </c>
      <c r="AP26" s="193" t="n">
        <f aca="false">P26*B26</f>
        <v>0</v>
      </c>
      <c r="AQ26" s="193" t="n">
        <f aca="false">Q26*B26</f>
        <v>0</v>
      </c>
      <c r="AR26" s="193" t="n">
        <f aca="false">R26*B26</f>
        <v>0</v>
      </c>
      <c r="AS26" s="193" t="n">
        <f aca="false">S26*B26</f>
        <v>0</v>
      </c>
      <c r="AT26" s="193" t="n">
        <f aca="false">T26*B26</f>
        <v>0</v>
      </c>
      <c r="AU26" s="193" t="n">
        <f aca="false">U26*B26</f>
        <v>0</v>
      </c>
      <c r="AV26" s="193" t="n">
        <f aca="false">V26*B26</f>
        <v>0</v>
      </c>
      <c r="AW26" s="193" t="n">
        <f aca="false">W26*B26</f>
        <v>0</v>
      </c>
      <c r="AX26" s="193" t="n">
        <f aca="false">X26*B26</f>
        <v>0</v>
      </c>
      <c r="AY26" s="193" t="n">
        <f aca="false">SUM(AC26:AX26)</f>
        <v>0</v>
      </c>
      <c r="AZ26" s="199" t="n">
        <f aca="false">AB26*B26</f>
        <v>0</v>
      </c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Q26" s="170"/>
      <c r="BR26" s="13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96"/>
      <c r="CN26" s="197"/>
      <c r="CO26" s="194"/>
      <c r="CP26" s="183"/>
      <c r="CQ26" s="183"/>
      <c r="CR26" s="183"/>
      <c r="CS26" s="183"/>
      <c r="CT26" s="183"/>
      <c r="CU26" s="183"/>
      <c r="CV26" s="183"/>
      <c r="CW26" s="183"/>
      <c r="CX26" s="183"/>
      <c r="CY26" s="183"/>
      <c r="CZ26" s="183"/>
      <c r="DA26" s="183"/>
      <c r="DB26" s="183"/>
      <c r="DC26" s="183"/>
      <c r="DD26" s="183"/>
      <c r="DE26" s="183"/>
      <c r="DF26" s="183"/>
      <c r="DG26" s="183"/>
      <c r="DH26" s="183"/>
      <c r="DI26" s="183"/>
      <c r="DJ26" s="183"/>
      <c r="DK26" s="194"/>
    </row>
    <row r="27" s="198" customFormat="true" ht="12.75" hidden="false" customHeight="true" outlineLevel="0" collapsed="false">
      <c r="A27" s="200"/>
      <c r="B27" s="117"/>
      <c r="C27" s="201" t="n">
        <f aca="false">AC27</f>
        <v>20</v>
      </c>
      <c r="D27" s="201" t="n">
        <f aca="false">AD27</f>
        <v>20</v>
      </c>
      <c r="E27" s="201" t="n">
        <f aca="false">AE27</f>
        <v>20</v>
      </c>
      <c r="F27" s="201" t="n">
        <f aca="false">AF27</f>
        <v>20</v>
      </c>
      <c r="G27" s="201" t="n">
        <f aca="false">AG27</f>
        <v>20</v>
      </c>
      <c r="H27" s="201" t="n">
        <f aca="false">AH27</f>
        <v>20</v>
      </c>
      <c r="I27" s="201" t="n">
        <f aca="false">AI27</f>
        <v>20</v>
      </c>
      <c r="J27" s="201" t="n">
        <f aca="false">AJ27</f>
        <v>0</v>
      </c>
      <c r="K27" s="201" t="n">
        <f aca="false">AK27</f>
        <v>0</v>
      </c>
      <c r="L27" s="201" t="n">
        <f aca="false">AL27</f>
        <v>0</v>
      </c>
      <c r="M27" s="201" t="n">
        <f aca="false">AM27</f>
        <v>0</v>
      </c>
      <c r="N27" s="201" t="n">
        <f aca="false">AN27</f>
        <v>0</v>
      </c>
      <c r="O27" s="201" t="n">
        <f aca="false">AO27</f>
        <v>0</v>
      </c>
      <c r="P27" s="201" t="n">
        <f aca="false">AP27</f>
        <v>0</v>
      </c>
      <c r="Q27" s="201" t="n">
        <f aca="false">AQ27</f>
        <v>0</v>
      </c>
      <c r="R27" s="201" t="n">
        <f aca="false">AR27</f>
        <v>0</v>
      </c>
      <c r="S27" s="201" t="n">
        <f aca="false">AS27</f>
        <v>0</v>
      </c>
      <c r="T27" s="201" t="n">
        <f aca="false">AT27</f>
        <v>0</v>
      </c>
      <c r="U27" s="201" t="n">
        <f aca="false">U20*R20</f>
        <v>0</v>
      </c>
      <c r="V27" s="201" t="n">
        <f aca="false">V20*S20</f>
        <v>0</v>
      </c>
      <c r="W27" s="201" t="n">
        <f aca="false">W20*T20</f>
        <v>0</v>
      </c>
      <c r="X27" s="201" t="n">
        <f aca="false">X20*U20</f>
        <v>0</v>
      </c>
      <c r="Y27" s="117"/>
      <c r="Z27" s="202"/>
      <c r="AA27" s="203"/>
      <c r="AB27" s="202"/>
      <c r="AC27" s="201" t="n">
        <f aca="false">SUM(AC20:AC26)</f>
        <v>20</v>
      </c>
      <c r="AD27" s="201" t="n">
        <f aca="false">SUM(AD20:AD26)</f>
        <v>20</v>
      </c>
      <c r="AE27" s="201" t="n">
        <f aca="false">SUM(AE20:AE26)</f>
        <v>20</v>
      </c>
      <c r="AF27" s="201" t="n">
        <f aca="false">SUM(AF20:AF26)</f>
        <v>20</v>
      </c>
      <c r="AG27" s="201" t="n">
        <f aca="false">SUM(AG20:AG26)</f>
        <v>20</v>
      </c>
      <c r="AH27" s="201" t="n">
        <f aca="false">SUM(AH20:AH26)</f>
        <v>20</v>
      </c>
      <c r="AI27" s="201" t="n">
        <f aca="false">SUM(AI20:AI26)</f>
        <v>20</v>
      </c>
      <c r="AJ27" s="201" t="n">
        <f aca="false">SUM(AJ20:AJ26)</f>
        <v>0</v>
      </c>
      <c r="AK27" s="201" t="n">
        <f aca="false">SUM(AK20:AK26)</f>
        <v>0</v>
      </c>
      <c r="AL27" s="201" t="n">
        <f aca="false">SUM(AL20:AL26)</f>
        <v>0</v>
      </c>
      <c r="AM27" s="201" t="n">
        <f aca="false">SUM(AM20:AM26)</f>
        <v>0</v>
      </c>
      <c r="AN27" s="201" t="n">
        <f aca="false">SUM(AN20:AN26)</f>
        <v>0</v>
      </c>
      <c r="AO27" s="201" t="n">
        <f aca="false">SUM(AO20:AO26)</f>
        <v>0</v>
      </c>
      <c r="AP27" s="201" t="n">
        <f aca="false">SUM(AP20:AP26)</f>
        <v>0</v>
      </c>
      <c r="AQ27" s="201" t="n">
        <f aca="false">SUM(AQ20:AQ26)</f>
        <v>0</v>
      </c>
      <c r="AR27" s="201" t="n">
        <f aca="false">SUM(AR20:AR26)</f>
        <v>0</v>
      </c>
      <c r="AS27" s="201" t="n">
        <f aca="false">SUM(AS20:AS26)</f>
        <v>0</v>
      </c>
      <c r="AT27" s="201" t="n">
        <f aca="false">SUM(AT20:AT26)</f>
        <v>0</v>
      </c>
      <c r="AU27" s="201" t="n">
        <f aca="false">SUM(AU19:AU25)</f>
        <v>20</v>
      </c>
      <c r="AV27" s="201" t="n">
        <f aca="false">SUM(AV19:AV25)</f>
        <v>20</v>
      </c>
      <c r="AW27" s="201" t="n">
        <f aca="false">SUM(AW19:AW25)</f>
        <v>20</v>
      </c>
      <c r="AX27" s="201" t="n">
        <f aca="false">SUM(AX19:AX25)</f>
        <v>20</v>
      </c>
      <c r="AY27" s="193" t="n">
        <f aca="false">SUM(AC27:AX27)</f>
        <v>220</v>
      </c>
      <c r="AZ27" s="199" t="n">
        <f aca="false">SUM(AZ19:AZ25)</f>
        <v>74.8</v>
      </c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5"/>
      <c r="BQ27" s="170"/>
      <c r="BR27" s="170"/>
      <c r="BS27" s="183"/>
      <c r="BT27" s="183"/>
      <c r="BU27" s="183"/>
      <c r="BV27" s="183"/>
      <c r="BW27" s="183"/>
      <c r="BX27" s="183"/>
      <c r="BY27" s="183"/>
      <c r="BZ27" s="183"/>
      <c r="CA27" s="183"/>
      <c r="CB27" s="183"/>
      <c r="CC27" s="183"/>
      <c r="CD27" s="183"/>
      <c r="CE27" s="183"/>
      <c r="CF27" s="183"/>
      <c r="CG27" s="183"/>
      <c r="CH27" s="183"/>
      <c r="CI27" s="183"/>
      <c r="CJ27" s="183"/>
      <c r="CK27" s="183"/>
      <c r="CL27" s="170"/>
      <c r="CM27" s="194"/>
      <c r="CN27" s="194"/>
      <c r="CO27" s="194"/>
      <c r="CP27" s="183"/>
      <c r="CQ27" s="183"/>
      <c r="CR27" s="183"/>
      <c r="CS27" s="183"/>
      <c r="CT27" s="183"/>
      <c r="CU27" s="183"/>
      <c r="CV27" s="183"/>
      <c r="CW27" s="183"/>
      <c r="CX27" s="183"/>
      <c r="CY27" s="183"/>
      <c r="CZ27" s="183"/>
      <c r="DA27" s="183"/>
      <c r="DB27" s="183"/>
      <c r="DC27" s="183"/>
      <c r="DD27" s="183"/>
      <c r="DE27" s="183"/>
      <c r="DF27" s="183"/>
      <c r="DG27" s="183"/>
      <c r="DH27" s="183"/>
      <c r="DI27" s="183"/>
      <c r="DJ27" s="183"/>
      <c r="DK27" s="194"/>
    </row>
    <row r="28" s="198" customFormat="true" ht="12.75" hidden="false" customHeight="true" outlineLevel="0" collapsed="false">
      <c r="A28" s="200"/>
      <c r="B28" s="117"/>
      <c r="C28" s="202" t="n">
        <f aca="false">AC28</f>
        <v>0</v>
      </c>
      <c r="D28" s="202" t="n">
        <f aca="false">AD28</f>
        <v>0</v>
      </c>
      <c r="E28" s="202" t="n">
        <f aca="false">AE28</f>
        <v>0</v>
      </c>
      <c r="F28" s="202" t="n">
        <f aca="false">AF28</f>
        <v>0</v>
      </c>
      <c r="G28" s="202" t="n">
        <f aca="false">AG28</f>
        <v>0</v>
      </c>
      <c r="H28" s="202" t="n">
        <f aca="false">AH28</f>
        <v>0</v>
      </c>
      <c r="I28" s="202" t="n">
        <f aca="false">AI28</f>
        <v>0</v>
      </c>
      <c r="J28" s="202" t="n">
        <f aca="false">AJ28</f>
        <v>-20</v>
      </c>
      <c r="K28" s="202" t="n">
        <f aca="false">AK28</f>
        <v>-20</v>
      </c>
      <c r="L28" s="202" t="n">
        <f aca="false">AL28</f>
        <v>-20</v>
      </c>
      <c r="M28" s="202" t="n">
        <f aca="false">AM28</f>
        <v>-20</v>
      </c>
      <c r="N28" s="202" t="n">
        <f aca="false">AN28</f>
        <v>-20</v>
      </c>
      <c r="O28" s="202" t="n">
        <f aca="false">AO28</f>
        <v>-20</v>
      </c>
      <c r="P28" s="202" t="n">
        <f aca="false">AP28</f>
        <v>-20</v>
      </c>
      <c r="Q28" s="202" t="n">
        <f aca="false">AQ28</f>
        <v>-20</v>
      </c>
      <c r="R28" s="202" t="n">
        <f aca="false">AR28</f>
        <v>-20</v>
      </c>
      <c r="S28" s="202" t="n">
        <f aca="false">AS28</f>
        <v>-20</v>
      </c>
      <c r="T28" s="202" t="n">
        <f aca="false">AT28</f>
        <v>-20</v>
      </c>
      <c r="U28" s="202" t="n">
        <f aca="false">U27-U19</f>
        <v>-20</v>
      </c>
      <c r="V28" s="202" t="n">
        <f aca="false">V27-V19</f>
        <v>-20</v>
      </c>
      <c r="W28" s="202" t="n">
        <f aca="false">W27-W19</f>
        <v>-20</v>
      </c>
      <c r="X28" s="202" t="n">
        <f aca="false">X27-X19</f>
        <v>-20</v>
      </c>
      <c r="Y28" s="117"/>
      <c r="Z28" s="202"/>
      <c r="AA28" s="202"/>
      <c r="AB28" s="202"/>
      <c r="AC28" s="201" t="n">
        <f aca="false">AC27-AC19</f>
        <v>0</v>
      </c>
      <c r="AD28" s="201" t="n">
        <f aca="false">AD27-AD19</f>
        <v>0</v>
      </c>
      <c r="AE28" s="201" t="n">
        <f aca="false">AE27-AE19</f>
        <v>0</v>
      </c>
      <c r="AF28" s="201" t="n">
        <f aca="false">AF27-AF19</f>
        <v>0</v>
      </c>
      <c r="AG28" s="201" t="n">
        <f aca="false">AG27-AG19</f>
        <v>0</v>
      </c>
      <c r="AH28" s="201" t="n">
        <f aca="false">AH27-AH19</f>
        <v>0</v>
      </c>
      <c r="AI28" s="201" t="n">
        <f aca="false">AI27-AI19</f>
        <v>0</v>
      </c>
      <c r="AJ28" s="201" t="n">
        <f aca="false">AJ27-AJ19</f>
        <v>-20</v>
      </c>
      <c r="AK28" s="201" t="n">
        <f aca="false">AK27-AK19</f>
        <v>-20</v>
      </c>
      <c r="AL28" s="201" t="n">
        <f aca="false">AL27-AL19</f>
        <v>-20</v>
      </c>
      <c r="AM28" s="201" t="n">
        <f aca="false">AM27-AM19</f>
        <v>-20</v>
      </c>
      <c r="AN28" s="201" t="n">
        <f aca="false">AN27-AN19</f>
        <v>-20</v>
      </c>
      <c r="AO28" s="201" t="n">
        <f aca="false">AO27-AO19</f>
        <v>-20</v>
      </c>
      <c r="AP28" s="201" t="n">
        <f aca="false">AP27-AP19</f>
        <v>-20</v>
      </c>
      <c r="AQ28" s="201" t="n">
        <f aca="false">AQ27-AQ19</f>
        <v>-20</v>
      </c>
      <c r="AR28" s="201" t="n">
        <f aca="false">AR27-AR19</f>
        <v>-20</v>
      </c>
      <c r="AS28" s="201" t="n">
        <f aca="false">AS27-AS19</f>
        <v>-20</v>
      </c>
      <c r="AT28" s="201" t="n">
        <f aca="false">AT27-AT19</f>
        <v>-20</v>
      </c>
      <c r="AU28" s="201" t="n">
        <f aca="false">AU27-AU19</f>
        <v>0</v>
      </c>
      <c r="AV28" s="201" t="n">
        <f aca="false">AV27-AV19</f>
        <v>0</v>
      </c>
      <c r="AW28" s="201" t="n">
        <f aca="false">AW27-AW19</f>
        <v>0</v>
      </c>
      <c r="AX28" s="201" t="n">
        <f aca="false">AX27-AX19</f>
        <v>0</v>
      </c>
      <c r="AY28" s="201"/>
      <c r="AZ28" s="199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5"/>
      <c r="BQ28" s="170"/>
      <c r="BR28" s="170"/>
      <c r="BS28" s="194"/>
      <c r="BT28" s="194"/>
      <c r="BU28" s="194"/>
      <c r="BV28" s="194"/>
      <c r="BW28" s="194"/>
      <c r="BX28" s="194"/>
      <c r="BY28" s="194"/>
      <c r="BZ28" s="194"/>
      <c r="CA28" s="194"/>
      <c r="CB28" s="194"/>
      <c r="CC28" s="194"/>
      <c r="CD28" s="194"/>
      <c r="CE28" s="194"/>
      <c r="CF28" s="194"/>
      <c r="CG28" s="194"/>
      <c r="CH28" s="194"/>
      <c r="CI28" s="194"/>
      <c r="CJ28" s="194"/>
      <c r="CK28" s="194"/>
      <c r="CL28" s="170"/>
      <c r="CM28" s="194"/>
      <c r="CN28" s="194"/>
      <c r="CO28" s="194"/>
      <c r="CP28" s="183"/>
      <c r="CQ28" s="183"/>
      <c r="CR28" s="183"/>
      <c r="CS28" s="183"/>
      <c r="CT28" s="183"/>
      <c r="CU28" s="183"/>
      <c r="CV28" s="183"/>
      <c r="CW28" s="183"/>
      <c r="CX28" s="183"/>
      <c r="CY28" s="183"/>
      <c r="CZ28" s="183"/>
      <c r="DA28" s="183"/>
      <c r="DB28" s="183"/>
      <c r="DC28" s="183"/>
      <c r="DD28" s="183"/>
      <c r="DE28" s="183"/>
      <c r="DF28" s="183"/>
      <c r="DG28" s="183"/>
      <c r="DH28" s="183"/>
      <c r="DI28" s="183"/>
      <c r="DJ28" s="183"/>
      <c r="DK28" s="194"/>
    </row>
    <row r="29" s="198" customFormat="true" ht="12.75" hidden="false" customHeight="true" outlineLevel="0" collapsed="false">
      <c r="A29" s="204"/>
      <c r="B29" s="204"/>
      <c r="C29" s="204"/>
      <c r="D29" s="204"/>
      <c r="E29" s="204"/>
      <c r="F29" s="204"/>
      <c r="G29" s="204"/>
      <c r="H29" s="204"/>
      <c r="I29" s="204"/>
      <c r="J29" s="204" t="str">
        <f aca="false">AZ15</f>
        <v>met 3%</v>
      </c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4"/>
      <c r="Z29" s="206"/>
      <c r="AA29" s="206"/>
      <c r="AB29" s="206"/>
      <c r="AC29" s="206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7"/>
      <c r="BA29" s="208"/>
      <c r="BB29" s="208"/>
      <c r="BC29" s="208"/>
      <c r="BD29" s="208"/>
      <c r="BE29" s="208"/>
      <c r="BF29" s="208"/>
      <c r="BG29" s="208"/>
      <c r="BH29" s="208"/>
      <c r="BI29" s="208"/>
      <c r="BJ29" s="208"/>
      <c r="BK29" s="208"/>
      <c r="BL29" s="208"/>
      <c r="BM29" s="208"/>
      <c r="BN29" s="208"/>
      <c r="BO29" s="208"/>
      <c r="BP29" s="195"/>
      <c r="BQ29" s="209"/>
      <c r="BR29" s="209"/>
      <c r="BS29" s="209"/>
      <c r="BT29" s="209"/>
      <c r="BU29" s="209"/>
      <c r="BV29" s="209"/>
      <c r="BW29" s="209"/>
      <c r="BX29" s="210"/>
      <c r="BY29" s="210"/>
      <c r="BZ29" s="210"/>
      <c r="CA29" s="210"/>
      <c r="CB29" s="210"/>
      <c r="CC29" s="210"/>
      <c r="CD29" s="210"/>
      <c r="CE29" s="210"/>
      <c r="CF29" s="210"/>
      <c r="CG29" s="210"/>
      <c r="CH29" s="210"/>
      <c r="CI29" s="210"/>
      <c r="CJ29" s="210"/>
      <c r="CK29" s="210"/>
      <c r="CL29" s="210"/>
      <c r="CM29" s="208"/>
      <c r="CN29" s="208"/>
      <c r="CO29" s="208"/>
      <c r="CP29" s="210"/>
      <c r="CQ29" s="210"/>
      <c r="CR29" s="210"/>
      <c r="CS29" s="210"/>
      <c r="CT29" s="210"/>
      <c r="CU29" s="210"/>
      <c r="CV29" s="210"/>
      <c r="CW29" s="210"/>
      <c r="CX29" s="210"/>
      <c r="CY29" s="210"/>
      <c r="CZ29" s="210"/>
      <c r="DA29" s="210"/>
      <c r="DB29" s="210"/>
      <c r="DC29" s="210"/>
      <c r="DD29" s="210"/>
      <c r="DE29" s="210"/>
      <c r="DF29" s="210"/>
      <c r="DG29" s="210"/>
      <c r="DH29" s="210"/>
      <c r="DI29" s="210"/>
      <c r="DJ29" s="210"/>
      <c r="DK29" s="208"/>
    </row>
    <row r="30" s="198" customFormat="true" ht="12.75" hidden="false" customHeight="true" outlineLevel="0" collapsed="false">
      <c r="A30" s="204"/>
      <c r="B30" s="204"/>
      <c r="C30" s="204"/>
      <c r="D30" s="204"/>
      <c r="E30" s="204"/>
      <c r="F30" s="204"/>
      <c r="G30" s="204"/>
      <c r="H30" s="204"/>
      <c r="I30" s="204"/>
      <c r="J30" s="204" t="str">
        <f aca="false">AZ15</f>
        <v>met 3%</v>
      </c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4"/>
      <c r="Z30" s="211"/>
      <c r="AA30" s="205"/>
      <c r="AB30" s="206"/>
      <c r="AC30" s="206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12"/>
      <c r="AZ30" s="207"/>
      <c r="BA30" s="208"/>
      <c r="BB30" s="208"/>
      <c r="BC30" s="208"/>
      <c r="BD30" s="208"/>
      <c r="BE30" s="208"/>
      <c r="BF30" s="208"/>
      <c r="BG30" s="208"/>
      <c r="BH30" s="208"/>
      <c r="BI30" s="208"/>
      <c r="BJ30" s="208"/>
      <c r="BK30" s="208"/>
      <c r="BL30" s="208"/>
      <c r="BM30" s="208"/>
      <c r="BN30" s="208"/>
      <c r="BO30" s="208"/>
      <c r="BP30" s="195"/>
      <c r="BQ30" s="209"/>
      <c r="BR30" s="209"/>
      <c r="BS30" s="209"/>
      <c r="BT30" s="209"/>
      <c r="BU30" s="209"/>
      <c r="BV30" s="209"/>
      <c r="BW30" s="209"/>
      <c r="BX30" s="210"/>
      <c r="BY30" s="210"/>
      <c r="BZ30" s="210"/>
      <c r="CA30" s="210"/>
      <c r="CB30" s="210"/>
      <c r="CC30" s="210"/>
      <c r="CD30" s="210"/>
      <c r="CE30" s="210"/>
      <c r="CF30" s="210"/>
      <c r="CG30" s="210"/>
      <c r="CH30" s="210"/>
      <c r="CI30" s="210"/>
      <c r="CJ30" s="210"/>
      <c r="CK30" s="210"/>
      <c r="CL30" s="210"/>
      <c r="CM30" s="213"/>
      <c r="CN30" s="210"/>
      <c r="CO30" s="208"/>
      <c r="CP30" s="210"/>
      <c r="CQ30" s="210"/>
      <c r="CR30" s="210"/>
      <c r="CS30" s="210"/>
      <c r="CT30" s="210"/>
      <c r="CU30" s="210"/>
      <c r="CV30" s="210"/>
      <c r="CW30" s="210"/>
      <c r="CX30" s="210"/>
      <c r="CY30" s="210"/>
      <c r="CZ30" s="210"/>
      <c r="DA30" s="210"/>
      <c r="DB30" s="210"/>
      <c r="DC30" s="210"/>
      <c r="DD30" s="210"/>
      <c r="DE30" s="210"/>
      <c r="DF30" s="210"/>
      <c r="DG30" s="210"/>
      <c r="DH30" s="210"/>
      <c r="DI30" s="210"/>
      <c r="DJ30" s="214"/>
      <c r="DK30" s="208"/>
    </row>
    <row r="31" s="198" customFormat="true" ht="21" hidden="false" customHeight="true" outlineLevel="0" collapsed="false">
      <c r="A31" s="215"/>
      <c r="B31" s="216"/>
      <c r="C31" s="216"/>
      <c r="D31" s="216"/>
      <c r="E31" s="216"/>
      <c r="F31" s="216"/>
      <c r="G31" s="216"/>
      <c r="H31" s="217"/>
      <c r="I31" s="204"/>
      <c r="J31" s="204"/>
      <c r="K31" s="218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20"/>
      <c r="Z31" s="221" t="s">
        <v>79</v>
      </c>
      <c r="AA31" s="221"/>
      <c r="AB31" s="221"/>
      <c r="AC31" s="222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  <c r="AO31" s="223"/>
      <c r="AP31" s="223"/>
      <c r="AQ31" s="223"/>
      <c r="AR31" s="223"/>
      <c r="AS31" s="223"/>
      <c r="AT31" s="223"/>
      <c r="AU31" s="223"/>
      <c r="AV31" s="223"/>
      <c r="AW31" s="223"/>
      <c r="AX31" s="223"/>
      <c r="AY31" s="224" t="n">
        <f aca="false">AY15+Y29+Y30</f>
        <v>0.3502</v>
      </c>
      <c r="AZ31" s="225" t="n">
        <f aca="false">AZ14</f>
        <v>0</v>
      </c>
      <c r="BA31" s="208"/>
      <c r="BB31" s="208"/>
      <c r="BC31" s="208"/>
      <c r="BD31" s="208"/>
      <c r="BE31" s="208"/>
      <c r="BF31" s="208"/>
      <c r="BG31" s="208"/>
      <c r="BH31" s="208"/>
      <c r="BI31" s="208"/>
      <c r="BJ31" s="208"/>
      <c r="BK31" s="208"/>
      <c r="BL31" s="208"/>
      <c r="BM31" s="208"/>
      <c r="BN31" s="208"/>
      <c r="BO31" s="208"/>
      <c r="BP31" s="195"/>
      <c r="BQ31" s="213"/>
      <c r="BR31" s="130"/>
      <c r="BS31" s="130"/>
      <c r="BT31" s="130"/>
      <c r="BU31" s="130"/>
      <c r="BV31" s="130"/>
      <c r="BW31" s="130"/>
      <c r="BX31" s="210"/>
      <c r="BY31" s="210"/>
      <c r="BZ31" s="210"/>
      <c r="CA31" s="210"/>
      <c r="CB31" s="210"/>
      <c r="CC31" s="210"/>
      <c r="CD31" s="210"/>
      <c r="CE31" s="210"/>
      <c r="CF31" s="210"/>
      <c r="CG31" s="210"/>
      <c r="CH31" s="210"/>
      <c r="CI31" s="210"/>
      <c r="CJ31" s="210"/>
      <c r="CK31" s="210"/>
      <c r="CL31" s="210"/>
      <c r="CM31" s="226"/>
      <c r="CN31" s="226"/>
      <c r="CO31" s="226"/>
      <c r="CP31" s="210"/>
      <c r="CQ31" s="210"/>
      <c r="CR31" s="210"/>
      <c r="CS31" s="210"/>
      <c r="CT31" s="210"/>
      <c r="CU31" s="210"/>
      <c r="CV31" s="210"/>
      <c r="CW31" s="210"/>
      <c r="CX31" s="210"/>
      <c r="CY31" s="210"/>
      <c r="CZ31" s="210"/>
      <c r="DA31" s="210"/>
      <c r="DB31" s="210"/>
      <c r="DC31" s="210"/>
      <c r="DD31" s="210"/>
      <c r="DE31" s="210"/>
      <c r="DF31" s="210"/>
      <c r="DG31" s="210"/>
      <c r="DH31" s="210"/>
      <c r="DI31" s="210"/>
      <c r="DJ31" s="214"/>
      <c r="DK31" s="208"/>
    </row>
    <row r="33" customFormat="false" ht="31.5" hidden="false" customHeight="true" outlineLevel="0" collapsed="false">
      <c r="A33" s="138" t="n">
        <v>2</v>
      </c>
      <c r="B33" s="139" t="s">
        <v>80</v>
      </c>
      <c r="C33" s="139"/>
      <c r="D33" s="139"/>
      <c r="E33" s="139"/>
      <c r="F33" s="139" t="s">
        <v>65</v>
      </c>
      <c r="G33" s="139"/>
      <c r="H33" s="140" t="n">
        <f aca="false">E1</f>
        <v>0</v>
      </c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1" t="s">
        <v>66</v>
      </c>
      <c r="AB33" s="142" t="n">
        <f aca="false">AZ45/AY45</f>
        <v>0.157142857142857</v>
      </c>
      <c r="AC33" s="142"/>
      <c r="AD33" s="143"/>
      <c r="AE33" s="143"/>
      <c r="AF33" s="143"/>
      <c r="AG33" s="144"/>
      <c r="AH33" s="143"/>
      <c r="AI33" s="143"/>
      <c r="AJ33" s="143"/>
      <c r="AK33" s="145"/>
      <c r="AL33" s="145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 t="n">
        <f aca="false">AB33*1.03</f>
        <v>0.161857142857143</v>
      </c>
      <c r="AZ33" s="144" t="s">
        <v>67</v>
      </c>
      <c r="BA33" s="146"/>
      <c r="BB33" s="146"/>
      <c r="BC33" s="227"/>
      <c r="BD33" s="227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</row>
    <row r="34" customFormat="false" ht="29.25" hidden="false" customHeight="true" outlineLevel="0" collapsed="false">
      <c r="A34" s="138"/>
      <c r="B34" s="228" t="s">
        <v>81</v>
      </c>
      <c r="C34" s="228"/>
      <c r="D34" s="228"/>
      <c r="E34" s="228"/>
      <c r="F34" s="139"/>
      <c r="G34" s="139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1"/>
      <c r="AB34" s="143" t="n">
        <f aca="false">AB33/0.9144</f>
        <v>0.171853518310211</v>
      </c>
      <c r="AC34" s="143"/>
      <c r="AD34" s="155"/>
      <c r="AE34" s="155"/>
      <c r="AF34" s="155"/>
      <c r="AG34" s="142"/>
      <c r="AH34" s="155"/>
      <c r="AI34" s="155"/>
      <c r="AJ34" s="155"/>
      <c r="AK34" s="145"/>
      <c r="AL34" s="145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 t="n">
        <f aca="false">AY33/0.9144</f>
        <v>0.177009123859518</v>
      </c>
      <c r="AZ34" s="142" t="s">
        <v>68</v>
      </c>
      <c r="BA34" s="152"/>
      <c r="BB34" s="152"/>
      <c r="BC34" s="227"/>
      <c r="BD34" s="227"/>
      <c r="BE34" s="152"/>
      <c r="BF34" s="152"/>
      <c r="BH34" s="169"/>
      <c r="BI34" s="169"/>
      <c r="BJ34" s="169"/>
      <c r="BK34" s="169"/>
      <c r="BL34" s="152"/>
      <c r="BM34" s="152"/>
      <c r="BN34" s="229"/>
      <c r="BO34" s="229"/>
      <c r="BP34" s="229"/>
      <c r="BQ34" s="229"/>
      <c r="BT34" s="230"/>
      <c r="BU34" s="230"/>
      <c r="BV34" s="230"/>
      <c r="BW34" s="230"/>
      <c r="BX34" s="230"/>
      <c r="BY34" s="230"/>
    </row>
    <row r="35" customFormat="false" ht="19.5" hidden="false" customHeight="true" outlineLevel="0" collapsed="false">
      <c r="A35" s="160" t="s">
        <v>69</v>
      </c>
      <c r="B35" s="161"/>
      <c r="C35" s="162" t="s">
        <v>82</v>
      </c>
      <c r="D35" s="162" t="str">
        <f aca="false">C2</f>
        <v>DR01</v>
      </c>
      <c r="E35" s="162"/>
      <c r="F35" s="162"/>
      <c r="G35" s="162"/>
      <c r="H35" s="162"/>
      <c r="I35" s="162"/>
      <c r="J35" s="162"/>
      <c r="K35" s="162"/>
      <c r="L35" s="162"/>
      <c r="M35" s="163" t="n">
        <f aca="false">M2</f>
        <v>0</v>
      </c>
      <c r="N35" s="163"/>
      <c r="O35" s="163"/>
      <c r="P35" s="163"/>
      <c r="Q35" s="163"/>
      <c r="R35" s="163"/>
      <c r="S35" s="163"/>
      <c r="T35" s="163"/>
      <c r="U35" s="164"/>
      <c r="V35" s="164"/>
      <c r="W35" s="164"/>
      <c r="X35" s="165"/>
      <c r="Y35" s="112" t="s">
        <v>70</v>
      </c>
      <c r="Z35" s="166" t="s">
        <v>71</v>
      </c>
      <c r="AA35" s="166" t="s">
        <v>72</v>
      </c>
      <c r="AB35" s="166" t="s">
        <v>72</v>
      </c>
      <c r="AC35" s="167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12" t="s">
        <v>73</v>
      </c>
      <c r="AZ35" s="166" t="s">
        <v>74</v>
      </c>
      <c r="BA35" s="146"/>
      <c r="BB35" s="146"/>
      <c r="BC35" s="227"/>
      <c r="BD35" s="227"/>
      <c r="BE35" s="227"/>
      <c r="BF35" s="227"/>
      <c r="BG35" s="169"/>
      <c r="BH35" s="169"/>
      <c r="BI35" s="169"/>
      <c r="BJ35" s="169"/>
      <c r="BK35" s="169"/>
      <c r="BL35" s="146"/>
      <c r="BM35" s="146"/>
      <c r="BN35" s="229"/>
      <c r="BO35" s="229"/>
      <c r="BP35" s="229"/>
      <c r="BQ35" s="229"/>
      <c r="BS35" s="146" t="n">
        <f aca="false">A41</f>
        <v>0</v>
      </c>
      <c r="BT35" s="230"/>
      <c r="BU35" s="230"/>
      <c r="BV35" s="230"/>
      <c r="BW35" s="230"/>
      <c r="BX35" s="230"/>
      <c r="BY35" s="230"/>
    </row>
    <row r="36" customFormat="false" ht="14.25" hidden="false" customHeight="true" outlineLevel="0" collapsed="false">
      <c r="A36" s="160"/>
      <c r="B36" s="171" t="s">
        <v>12</v>
      </c>
      <c r="C36" s="172" t="n">
        <f aca="false">C3</f>
        <v>90</v>
      </c>
      <c r="D36" s="172" t="n">
        <f aca="false">D3</f>
        <v>100</v>
      </c>
      <c r="E36" s="92" t="n">
        <f aca="false">E3</f>
        <v>110</v>
      </c>
      <c r="F36" s="92" t="n">
        <f aca="false">F3</f>
        <v>120</v>
      </c>
      <c r="G36" s="92" t="n">
        <f aca="false">G3</f>
        <v>130</v>
      </c>
      <c r="H36" s="92" t="n">
        <f aca="false">H3</f>
        <v>140</v>
      </c>
      <c r="I36" s="92" t="n">
        <f aca="false">I3</f>
        <v>150</v>
      </c>
      <c r="J36" s="92" t="str">
        <f aca="false">J3</f>
        <v>4XL</v>
      </c>
      <c r="K36" s="92" t="str">
        <f aca="false">K3</f>
        <v>5XL</v>
      </c>
      <c r="L36" s="92" t="str">
        <f aca="false">L3</f>
        <v>7XL</v>
      </c>
      <c r="M36" s="231" t="str">
        <f aca="false">M3</f>
        <v>S</v>
      </c>
      <c r="N36" s="231" t="str">
        <f aca="false">N3</f>
        <v>M</v>
      </c>
      <c r="O36" s="231" t="str">
        <f aca="false">O3</f>
        <v>L</v>
      </c>
      <c r="P36" s="231" t="str">
        <f aca="false">P3</f>
        <v>XL</v>
      </c>
      <c r="Q36" s="231" t="str">
        <f aca="false">Q3</f>
        <v>2XL</v>
      </c>
      <c r="R36" s="231" t="str">
        <f aca="false">R3</f>
        <v>3XL</v>
      </c>
      <c r="S36" s="231" t="str">
        <f aca="false">S3</f>
        <v>4XL</v>
      </c>
      <c r="T36" s="231" t="str">
        <f aca="false">T3</f>
        <v>5XL</v>
      </c>
      <c r="U36" s="120" t="n">
        <f aca="false">U20</f>
        <v>0</v>
      </c>
      <c r="V36" s="120" t="n">
        <f aca="false">V20</f>
        <v>0</v>
      </c>
      <c r="W36" s="120" t="n">
        <f aca="false">W20</f>
        <v>0</v>
      </c>
      <c r="X36" s="120" t="n">
        <f aca="false">X20</f>
        <v>0</v>
      </c>
      <c r="Y36" s="173" t="s">
        <v>75</v>
      </c>
      <c r="Z36" s="174" t="s">
        <v>76</v>
      </c>
      <c r="AA36" s="174" t="s">
        <v>76</v>
      </c>
      <c r="AB36" s="174" t="s">
        <v>77</v>
      </c>
      <c r="AC36" s="175" t="n">
        <f aca="false">C36</f>
        <v>90</v>
      </c>
      <c r="AD36" s="175" t="n">
        <f aca="false">D36</f>
        <v>100</v>
      </c>
      <c r="AE36" s="175" t="n">
        <f aca="false">E36</f>
        <v>110</v>
      </c>
      <c r="AF36" s="175" t="n">
        <f aca="false">F36</f>
        <v>120</v>
      </c>
      <c r="AG36" s="175" t="n">
        <f aca="false">G36</f>
        <v>130</v>
      </c>
      <c r="AH36" s="175" t="n">
        <f aca="false">H36</f>
        <v>140</v>
      </c>
      <c r="AI36" s="175" t="n">
        <f aca="false">I36</f>
        <v>150</v>
      </c>
      <c r="AJ36" s="175" t="str">
        <f aca="false">J36</f>
        <v>4XL</v>
      </c>
      <c r="AK36" s="175" t="str">
        <f aca="false">K36</f>
        <v>5XL</v>
      </c>
      <c r="AL36" s="175" t="str">
        <f aca="false">L36</f>
        <v>7XL</v>
      </c>
      <c r="AM36" s="175" t="str">
        <f aca="false">M36</f>
        <v>S</v>
      </c>
      <c r="AN36" s="175" t="str">
        <f aca="false">N36</f>
        <v>M</v>
      </c>
      <c r="AO36" s="175" t="str">
        <f aca="false">O36</f>
        <v>L</v>
      </c>
      <c r="AP36" s="175" t="str">
        <f aca="false">P36</f>
        <v>XL</v>
      </c>
      <c r="AQ36" s="175" t="str">
        <f aca="false">Q36</f>
        <v>2XL</v>
      </c>
      <c r="AR36" s="175" t="str">
        <f aca="false">R36</f>
        <v>3XL</v>
      </c>
      <c r="AS36" s="175" t="str">
        <f aca="false">S36</f>
        <v>4XL</v>
      </c>
      <c r="AT36" s="175" t="str">
        <f aca="false">T36</f>
        <v>5XL</v>
      </c>
      <c r="AU36" s="175" t="n">
        <f aca="false">U36</f>
        <v>0</v>
      </c>
      <c r="AV36" s="175" t="n">
        <f aca="false">V36</f>
        <v>0</v>
      </c>
      <c r="AW36" s="175" t="n">
        <f aca="false">W36</f>
        <v>0</v>
      </c>
      <c r="AX36" s="175" t="n">
        <f aca="false">X36</f>
        <v>0</v>
      </c>
      <c r="AY36" s="232" t="n">
        <f aca="false">SUM(AC37:AX37)</f>
        <v>440</v>
      </c>
      <c r="AZ36" s="174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</row>
    <row r="37" customFormat="false" ht="12.75" hidden="false" customHeight="true" outlineLevel="0" collapsed="false">
      <c r="A37" s="160"/>
      <c r="B37" s="160" t="s">
        <v>78</v>
      </c>
      <c r="C37" s="177" t="n">
        <f aca="false">C13</f>
        <v>20</v>
      </c>
      <c r="D37" s="177" t="n">
        <f aca="false">D13</f>
        <v>20</v>
      </c>
      <c r="E37" s="177" t="n">
        <f aca="false">E13</f>
        <v>20</v>
      </c>
      <c r="F37" s="177" t="n">
        <f aca="false">F13</f>
        <v>20</v>
      </c>
      <c r="G37" s="177" t="n">
        <f aca="false">G13</f>
        <v>20</v>
      </c>
      <c r="H37" s="177" t="n">
        <f aca="false">H13</f>
        <v>20</v>
      </c>
      <c r="I37" s="177" t="n">
        <f aca="false">I13</f>
        <v>20</v>
      </c>
      <c r="J37" s="177" t="n">
        <f aca="false">J13</f>
        <v>20</v>
      </c>
      <c r="K37" s="177" t="n">
        <f aca="false">K13</f>
        <v>20</v>
      </c>
      <c r="L37" s="177" t="n">
        <f aca="false">L13</f>
        <v>20</v>
      </c>
      <c r="M37" s="177" t="n">
        <f aca="false">M13</f>
        <v>20</v>
      </c>
      <c r="N37" s="177" t="n">
        <f aca="false">N13</f>
        <v>20</v>
      </c>
      <c r="O37" s="177" t="n">
        <f aca="false">O13</f>
        <v>20</v>
      </c>
      <c r="P37" s="177" t="n">
        <f aca="false">P13</f>
        <v>20</v>
      </c>
      <c r="Q37" s="177" t="n">
        <f aca="false">Q13</f>
        <v>20</v>
      </c>
      <c r="R37" s="177" t="n">
        <f aca="false">R13</f>
        <v>20</v>
      </c>
      <c r="S37" s="177" t="n">
        <f aca="false">S13</f>
        <v>20</v>
      </c>
      <c r="T37" s="177" t="n">
        <f aca="false">T13</f>
        <v>20</v>
      </c>
      <c r="U37" s="177" t="n">
        <f aca="false">U13</f>
        <v>20</v>
      </c>
      <c r="V37" s="177" t="n">
        <f aca="false">V13</f>
        <v>20</v>
      </c>
      <c r="W37" s="177" t="n">
        <f aca="false">W13</f>
        <v>20</v>
      </c>
      <c r="X37" s="177" t="n">
        <f aca="false">X13</f>
        <v>20</v>
      </c>
      <c r="Y37" s="173"/>
      <c r="Z37" s="174"/>
      <c r="AA37" s="174"/>
      <c r="AB37" s="174"/>
      <c r="AC37" s="180" t="n">
        <f aca="false">C37</f>
        <v>20</v>
      </c>
      <c r="AD37" s="180" t="n">
        <f aca="false">D37</f>
        <v>20</v>
      </c>
      <c r="AE37" s="180" t="n">
        <f aca="false">E37</f>
        <v>20</v>
      </c>
      <c r="AF37" s="180" t="n">
        <f aca="false">F37</f>
        <v>20</v>
      </c>
      <c r="AG37" s="180" t="n">
        <f aca="false">G37</f>
        <v>20</v>
      </c>
      <c r="AH37" s="180" t="n">
        <f aca="false">H37</f>
        <v>20</v>
      </c>
      <c r="AI37" s="180" t="n">
        <f aca="false">I37</f>
        <v>20</v>
      </c>
      <c r="AJ37" s="180" t="n">
        <f aca="false">J37</f>
        <v>20</v>
      </c>
      <c r="AK37" s="180" t="n">
        <f aca="false">K37</f>
        <v>20</v>
      </c>
      <c r="AL37" s="180" t="n">
        <f aca="false">L37</f>
        <v>20</v>
      </c>
      <c r="AM37" s="180" t="n">
        <f aca="false">M37</f>
        <v>20</v>
      </c>
      <c r="AN37" s="180" t="n">
        <f aca="false">N37</f>
        <v>20</v>
      </c>
      <c r="AO37" s="180" t="n">
        <f aca="false">O37</f>
        <v>20</v>
      </c>
      <c r="AP37" s="180" t="n">
        <f aca="false">P37</f>
        <v>20</v>
      </c>
      <c r="AQ37" s="180" t="n">
        <f aca="false">Q37</f>
        <v>20</v>
      </c>
      <c r="AR37" s="180" t="n">
        <f aca="false">R37</f>
        <v>20</v>
      </c>
      <c r="AS37" s="180" t="n">
        <f aca="false">S37</f>
        <v>20</v>
      </c>
      <c r="AT37" s="180" t="n">
        <f aca="false">T37</f>
        <v>20</v>
      </c>
      <c r="AU37" s="180" t="n">
        <f aca="false">U37</f>
        <v>20</v>
      </c>
      <c r="AV37" s="180" t="n">
        <f aca="false">V37</f>
        <v>20</v>
      </c>
      <c r="AW37" s="180" t="n">
        <f aca="false">W37</f>
        <v>20</v>
      </c>
      <c r="AX37" s="180" t="n">
        <f aca="false">X37</f>
        <v>20</v>
      </c>
      <c r="AY37" s="232"/>
      <c r="AZ37" s="174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CB37" s="64"/>
    </row>
    <row r="38" customFormat="false" ht="12.75" hidden="false" customHeight="true" outlineLevel="0" collapsed="false">
      <c r="A38" s="189"/>
      <c r="B38" s="185" t="n">
        <v>20</v>
      </c>
      <c r="C38" s="186" t="n">
        <v>1</v>
      </c>
      <c r="D38" s="186" t="n">
        <v>1</v>
      </c>
      <c r="E38" s="186" t="n">
        <v>1</v>
      </c>
      <c r="F38" s="186" t="n">
        <v>1</v>
      </c>
      <c r="G38" s="186" t="n">
        <v>1</v>
      </c>
      <c r="H38" s="186" t="n">
        <v>1</v>
      </c>
      <c r="I38" s="186" t="n">
        <v>1</v>
      </c>
      <c r="J38" s="187"/>
      <c r="K38" s="187"/>
      <c r="L38" s="187"/>
      <c r="M38" s="188"/>
      <c r="N38" s="188"/>
      <c r="O38" s="188"/>
      <c r="P38" s="188"/>
      <c r="Q38" s="188"/>
      <c r="R38" s="188"/>
      <c r="S38" s="188"/>
      <c r="T38" s="188"/>
      <c r="U38" s="189"/>
      <c r="V38" s="189"/>
      <c r="W38" s="189"/>
      <c r="X38" s="189"/>
      <c r="Y38" s="189" t="n">
        <f aca="false">SUM(D38:X38)</f>
        <v>6</v>
      </c>
      <c r="Z38" s="190" t="n">
        <v>151</v>
      </c>
      <c r="AA38" s="191" t="n">
        <v>1.06</v>
      </c>
      <c r="AB38" s="192" t="n">
        <f aca="false">AA38+0.04</f>
        <v>1.1</v>
      </c>
      <c r="AC38" s="193" t="n">
        <f aca="false">C38*B38</f>
        <v>20</v>
      </c>
      <c r="AD38" s="193" t="n">
        <f aca="false">D38*B38</f>
        <v>20</v>
      </c>
      <c r="AE38" s="193" t="n">
        <f aca="false">E38*B38</f>
        <v>20</v>
      </c>
      <c r="AF38" s="193" t="n">
        <f aca="false">F38*B38</f>
        <v>20</v>
      </c>
      <c r="AG38" s="193" t="n">
        <f aca="false">G38*B38</f>
        <v>20</v>
      </c>
      <c r="AH38" s="193" t="n">
        <f aca="false">H38*B38</f>
        <v>20</v>
      </c>
      <c r="AI38" s="193" t="n">
        <f aca="false">I38*B38</f>
        <v>20</v>
      </c>
      <c r="AJ38" s="193" t="n">
        <f aca="false">J38*B38</f>
        <v>0</v>
      </c>
      <c r="AK38" s="193" t="n">
        <f aca="false">K38*B38</f>
        <v>0</v>
      </c>
      <c r="AL38" s="193" t="n">
        <f aca="false">L38*B38</f>
        <v>0</v>
      </c>
      <c r="AM38" s="193" t="n">
        <f aca="false">M38*B38</f>
        <v>0</v>
      </c>
      <c r="AN38" s="193" t="n">
        <f aca="false">N38*B38</f>
        <v>0</v>
      </c>
      <c r="AO38" s="193" t="n">
        <f aca="false">O38*B38</f>
        <v>0</v>
      </c>
      <c r="AP38" s="193" t="n">
        <f aca="false">P38*B38</f>
        <v>0</v>
      </c>
      <c r="AQ38" s="193" t="n">
        <f aca="false">Q38*B38</f>
        <v>0</v>
      </c>
      <c r="AR38" s="193" t="n">
        <f aca="false">R38*B38</f>
        <v>0</v>
      </c>
      <c r="AS38" s="193" t="n">
        <f aca="false">S38*B38</f>
        <v>0</v>
      </c>
      <c r="AT38" s="193" t="n">
        <f aca="false">T38*B38</f>
        <v>0</v>
      </c>
      <c r="AU38" s="193" t="n">
        <f aca="false">U38*B38</f>
        <v>0</v>
      </c>
      <c r="AV38" s="193" t="n">
        <f aca="false">V38*B38</f>
        <v>0</v>
      </c>
      <c r="AW38" s="193" t="n">
        <f aca="false">W38*B38</f>
        <v>0</v>
      </c>
      <c r="AX38" s="193" t="n">
        <f aca="false">X38*B38</f>
        <v>0</v>
      </c>
      <c r="AY38" s="193" t="n">
        <f aca="false">SUM(AC38:AX38)</f>
        <v>140</v>
      </c>
      <c r="AZ38" s="192" t="n">
        <f aca="false">AB38*B38</f>
        <v>22</v>
      </c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4"/>
      <c r="BL38" s="194"/>
      <c r="BM38" s="194"/>
      <c r="BN38" s="194"/>
      <c r="BO38" s="194"/>
      <c r="CB38" s="230"/>
      <c r="CC38" s="230"/>
      <c r="CD38" s="230"/>
      <c r="CE38" s="230"/>
    </row>
    <row r="39" customFormat="false" ht="12.75" hidden="false" customHeight="true" outlineLevel="0" collapsed="false">
      <c r="A39" s="189"/>
      <c r="B39" s="185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8"/>
      <c r="N39" s="188"/>
      <c r="O39" s="188"/>
      <c r="P39" s="188"/>
      <c r="Q39" s="188"/>
      <c r="R39" s="188"/>
      <c r="S39" s="188"/>
      <c r="T39" s="188"/>
      <c r="U39" s="189"/>
      <c r="V39" s="189"/>
      <c r="W39" s="189"/>
      <c r="X39" s="189"/>
      <c r="Y39" s="189" t="n">
        <f aca="false">SUM(D39:X39)</f>
        <v>0</v>
      </c>
      <c r="Z39" s="190"/>
      <c r="AA39" s="191"/>
      <c r="AB39" s="192" t="n">
        <f aca="false">AA39+0.04</f>
        <v>0.04</v>
      </c>
      <c r="AC39" s="193" t="n">
        <f aca="false">C39*B39</f>
        <v>0</v>
      </c>
      <c r="AD39" s="193" t="n">
        <f aca="false">D39*B39</f>
        <v>0</v>
      </c>
      <c r="AE39" s="193" t="n">
        <f aca="false">E39*B39</f>
        <v>0</v>
      </c>
      <c r="AF39" s="193" t="n">
        <f aca="false">F39*B39</f>
        <v>0</v>
      </c>
      <c r="AG39" s="193" t="n">
        <f aca="false">G39*B39</f>
        <v>0</v>
      </c>
      <c r="AH39" s="193" t="n">
        <f aca="false">H39*B39</f>
        <v>0</v>
      </c>
      <c r="AI39" s="193" t="n">
        <f aca="false">I39*B39</f>
        <v>0</v>
      </c>
      <c r="AJ39" s="193" t="n">
        <f aca="false">J39*B39</f>
        <v>0</v>
      </c>
      <c r="AK39" s="193" t="n">
        <f aca="false">K39*B39</f>
        <v>0</v>
      </c>
      <c r="AL39" s="193" t="n">
        <f aca="false">L39*B39</f>
        <v>0</v>
      </c>
      <c r="AM39" s="193" t="n">
        <f aca="false">M39*B39</f>
        <v>0</v>
      </c>
      <c r="AN39" s="193" t="n">
        <f aca="false">N39*B39</f>
        <v>0</v>
      </c>
      <c r="AO39" s="193" t="n">
        <f aca="false">O39*B39</f>
        <v>0</v>
      </c>
      <c r="AP39" s="193" t="n">
        <f aca="false">P39*B39</f>
        <v>0</v>
      </c>
      <c r="AQ39" s="193" t="n">
        <f aca="false">Q39*B39</f>
        <v>0</v>
      </c>
      <c r="AR39" s="193" t="n">
        <f aca="false">R39*B39</f>
        <v>0</v>
      </c>
      <c r="AS39" s="193" t="n">
        <f aca="false">S39*B39</f>
        <v>0</v>
      </c>
      <c r="AT39" s="193" t="n">
        <f aca="false">T39*B39</f>
        <v>0</v>
      </c>
      <c r="AU39" s="193" t="n">
        <f aca="false">U39*B39</f>
        <v>0</v>
      </c>
      <c r="AV39" s="193" t="n">
        <f aca="false">V39*B39</f>
        <v>0</v>
      </c>
      <c r="AW39" s="193" t="n">
        <f aca="false">W39*B39</f>
        <v>0</v>
      </c>
      <c r="AX39" s="193" t="n">
        <f aca="false">X39*B39</f>
        <v>0</v>
      </c>
      <c r="AY39" s="193" t="n">
        <f aca="false">SUM(AC39:AX39)</f>
        <v>0</v>
      </c>
      <c r="AZ39" s="192" t="n">
        <f aca="false">AB39*B39</f>
        <v>0</v>
      </c>
      <c r="BA39" s="194"/>
      <c r="BB39" s="194"/>
      <c r="BC39" s="194"/>
      <c r="BD39" s="194"/>
      <c r="BE39" s="194"/>
      <c r="BF39" s="194"/>
      <c r="BG39" s="194"/>
      <c r="BH39" s="194"/>
      <c r="BI39" s="194"/>
      <c r="BJ39" s="194"/>
      <c r="BK39" s="194"/>
      <c r="BL39" s="194"/>
      <c r="BM39" s="194"/>
      <c r="BN39" s="194"/>
      <c r="BO39" s="194"/>
      <c r="CB39" s="230"/>
      <c r="CC39" s="230"/>
      <c r="CD39" s="230"/>
      <c r="CE39" s="230"/>
    </row>
    <row r="40" customFormat="false" ht="12.75" hidden="false" customHeight="true" outlineLevel="0" collapsed="false">
      <c r="A40" s="189"/>
      <c r="B40" s="185"/>
      <c r="C40" s="186"/>
      <c r="D40" s="186"/>
      <c r="E40" s="186"/>
      <c r="F40" s="186"/>
      <c r="G40" s="186"/>
      <c r="H40" s="186"/>
      <c r="I40" s="187"/>
      <c r="J40" s="187"/>
      <c r="K40" s="187"/>
      <c r="L40" s="187"/>
      <c r="M40" s="188"/>
      <c r="N40" s="188"/>
      <c r="O40" s="188"/>
      <c r="P40" s="188"/>
      <c r="Q40" s="188"/>
      <c r="R40" s="188"/>
      <c r="S40" s="188"/>
      <c r="T40" s="188"/>
      <c r="U40" s="189"/>
      <c r="V40" s="189"/>
      <c r="W40" s="189"/>
      <c r="X40" s="189"/>
      <c r="Y40" s="189" t="n">
        <f aca="false">SUM(D40:X40)</f>
        <v>0</v>
      </c>
      <c r="Z40" s="190"/>
      <c r="AA40" s="191"/>
      <c r="AB40" s="192" t="n">
        <f aca="false">AA40+0.04</f>
        <v>0.04</v>
      </c>
      <c r="AC40" s="193" t="n">
        <f aca="false">C40*B40</f>
        <v>0</v>
      </c>
      <c r="AD40" s="193" t="n">
        <f aca="false">D40*B40</f>
        <v>0</v>
      </c>
      <c r="AE40" s="193" t="n">
        <f aca="false">E40*B40</f>
        <v>0</v>
      </c>
      <c r="AF40" s="193" t="n">
        <f aca="false">F40*B40</f>
        <v>0</v>
      </c>
      <c r="AG40" s="193" t="n">
        <f aca="false">G40*B40</f>
        <v>0</v>
      </c>
      <c r="AH40" s="193" t="n">
        <f aca="false">H40*B40</f>
        <v>0</v>
      </c>
      <c r="AI40" s="193" t="n">
        <f aca="false">I40*B40</f>
        <v>0</v>
      </c>
      <c r="AJ40" s="193" t="n">
        <f aca="false">J40*B40</f>
        <v>0</v>
      </c>
      <c r="AK40" s="193" t="n">
        <f aca="false">K40*B40</f>
        <v>0</v>
      </c>
      <c r="AL40" s="193" t="n">
        <f aca="false">L40*B40</f>
        <v>0</v>
      </c>
      <c r="AM40" s="193" t="n">
        <f aca="false">M40*B40</f>
        <v>0</v>
      </c>
      <c r="AN40" s="193" t="n">
        <f aca="false">N40*B40</f>
        <v>0</v>
      </c>
      <c r="AO40" s="193" t="n">
        <f aca="false">O40*B40</f>
        <v>0</v>
      </c>
      <c r="AP40" s="193" t="n">
        <f aca="false">P40*B40</f>
        <v>0</v>
      </c>
      <c r="AQ40" s="193" t="n">
        <f aca="false">Q40*B40</f>
        <v>0</v>
      </c>
      <c r="AR40" s="193" t="n">
        <f aca="false">R40*B40</f>
        <v>0</v>
      </c>
      <c r="AS40" s="193" t="n">
        <f aca="false">S40*B40</f>
        <v>0</v>
      </c>
      <c r="AT40" s="193" t="n">
        <f aca="false">T40*B40</f>
        <v>0</v>
      </c>
      <c r="AU40" s="193" t="n">
        <f aca="false">U40*B40</f>
        <v>0</v>
      </c>
      <c r="AV40" s="193" t="n">
        <f aca="false">V40*B40</f>
        <v>0</v>
      </c>
      <c r="AW40" s="193" t="n">
        <f aca="false">W40*B40</f>
        <v>0</v>
      </c>
      <c r="AX40" s="193" t="n">
        <f aca="false">X40*B40</f>
        <v>0</v>
      </c>
      <c r="AY40" s="193" t="n">
        <f aca="false">SUM(AC40:AX40)</f>
        <v>0</v>
      </c>
      <c r="AZ40" s="192" t="n">
        <f aca="false">AB40*B40</f>
        <v>0</v>
      </c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CB40" s="230"/>
      <c r="CC40" s="230"/>
      <c r="CD40" s="230"/>
      <c r="CE40" s="230"/>
    </row>
    <row r="41" customFormat="false" ht="12.75" hidden="false" customHeight="true" outlineLevel="0" collapsed="false">
      <c r="A41" s="189"/>
      <c r="B41" s="185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8"/>
      <c r="N41" s="188"/>
      <c r="O41" s="188"/>
      <c r="P41" s="188"/>
      <c r="Q41" s="188"/>
      <c r="R41" s="188"/>
      <c r="S41" s="188"/>
      <c r="T41" s="188"/>
      <c r="U41" s="189"/>
      <c r="V41" s="189"/>
      <c r="W41" s="189"/>
      <c r="X41" s="189"/>
      <c r="Y41" s="189" t="n">
        <f aca="false">SUM(D41:X41)</f>
        <v>0</v>
      </c>
      <c r="Z41" s="190"/>
      <c r="AA41" s="191"/>
      <c r="AB41" s="192" t="n">
        <f aca="false">AA41+0.04</f>
        <v>0.04</v>
      </c>
      <c r="AC41" s="193" t="n">
        <f aca="false">C41*B41</f>
        <v>0</v>
      </c>
      <c r="AD41" s="193" t="n">
        <f aca="false">D41*B41</f>
        <v>0</v>
      </c>
      <c r="AE41" s="193" t="n">
        <f aca="false">E41*B41</f>
        <v>0</v>
      </c>
      <c r="AF41" s="193" t="n">
        <f aca="false">F41*B41</f>
        <v>0</v>
      </c>
      <c r="AG41" s="193" t="n">
        <f aca="false">G41*B41</f>
        <v>0</v>
      </c>
      <c r="AH41" s="193" t="n">
        <f aca="false">H41*B41</f>
        <v>0</v>
      </c>
      <c r="AI41" s="193" t="n">
        <f aca="false">I41*B41</f>
        <v>0</v>
      </c>
      <c r="AJ41" s="193" t="n">
        <f aca="false">J41*B41</f>
        <v>0</v>
      </c>
      <c r="AK41" s="193" t="n">
        <f aca="false">K41*B41</f>
        <v>0</v>
      </c>
      <c r="AL41" s="193" t="n">
        <f aca="false">L41*B41</f>
        <v>0</v>
      </c>
      <c r="AM41" s="193" t="n">
        <f aca="false">M41*B41</f>
        <v>0</v>
      </c>
      <c r="AN41" s="193" t="n">
        <f aca="false">N41*B41</f>
        <v>0</v>
      </c>
      <c r="AO41" s="193" t="n">
        <f aca="false">O41*B41</f>
        <v>0</v>
      </c>
      <c r="AP41" s="193" t="n">
        <f aca="false">P41*B41</f>
        <v>0</v>
      </c>
      <c r="AQ41" s="193" t="n">
        <f aca="false">Q41*B41</f>
        <v>0</v>
      </c>
      <c r="AR41" s="193" t="n">
        <f aca="false">R41*B41</f>
        <v>0</v>
      </c>
      <c r="AS41" s="193" t="n">
        <f aca="false">S41*B41</f>
        <v>0</v>
      </c>
      <c r="AT41" s="193" t="n">
        <f aca="false">T41*B41</f>
        <v>0</v>
      </c>
      <c r="AU41" s="193" t="n">
        <f aca="false">U41*B41</f>
        <v>0</v>
      </c>
      <c r="AV41" s="193" t="n">
        <f aca="false">V41*B41</f>
        <v>0</v>
      </c>
      <c r="AW41" s="193" t="n">
        <f aca="false">W41*B41</f>
        <v>0</v>
      </c>
      <c r="AX41" s="193" t="n">
        <f aca="false">X41*B41</f>
        <v>0</v>
      </c>
      <c r="AY41" s="193" t="n">
        <f aca="false">SUM(AC41:AX41)</f>
        <v>0</v>
      </c>
      <c r="AZ41" s="192" t="n">
        <f aca="false">AB41*B41</f>
        <v>0</v>
      </c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CB41" s="230"/>
      <c r="CC41" s="230"/>
      <c r="CD41" s="230"/>
      <c r="CE41" s="230"/>
    </row>
    <row r="42" customFormat="false" ht="12.75" hidden="false" customHeight="true" outlineLevel="0" collapsed="false">
      <c r="A42" s="189"/>
      <c r="B42" s="185"/>
      <c r="C42" s="186"/>
      <c r="D42" s="186"/>
      <c r="E42" s="186"/>
      <c r="F42" s="186"/>
      <c r="G42" s="186"/>
      <c r="H42" s="186"/>
      <c r="I42" s="187"/>
      <c r="J42" s="187"/>
      <c r="K42" s="187"/>
      <c r="L42" s="187"/>
      <c r="M42" s="188"/>
      <c r="N42" s="188"/>
      <c r="O42" s="188"/>
      <c r="P42" s="188"/>
      <c r="Q42" s="188"/>
      <c r="R42" s="188"/>
      <c r="S42" s="188"/>
      <c r="T42" s="188"/>
      <c r="U42" s="189"/>
      <c r="V42" s="189"/>
      <c r="W42" s="189"/>
      <c r="X42" s="189"/>
      <c r="Y42" s="189" t="n">
        <f aca="false">SUM(D42:X42)</f>
        <v>0</v>
      </c>
      <c r="Z42" s="190"/>
      <c r="AA42" s="191"/>
      <c r="AB42" s="192" t="n">
        <f aca="false">AA42+0.04</f>
        <v>0.04</v>
      </c>
      <c r="AC42" s="193" t="n">
        <f aca="false">C42*B42</f>
        <v>0</v>
      </c>
      <c r="AD42" s="193" t="n">
        <f aca="false">D42*B42</f>
        <v>0</v>
      </c>
      <c r="AE42" s="193" t="n">
        <f aca="false">E42*B42</f>
        <v>0</v>
      </c>
      <c r="AF42" s="193" t="n">
        <f aca="false">F42*B42</f>
        <v>0</v>
      </c>
      <c r="AG42" s="193" t="n">
        <f aca="false">G42*B42</f>
        <v>0</v>
      </c>
      <c r="AH42" s="193" t="n">
        <f aca="false">H42*B42</f>
        <v>0</v>
      </c>
      <c r="AI42" s="193" t="n">
        <f aca="false">I42*B42</f>
        <v>0</v>
      </c>
      <c r="AJ42" s="193" t="n">
        <f aca="false">J42*B42</f>
        <v>0</v>
      </c>
      <c r="AK42" s="193" t="n">
        <f aca="false">K42*B42</f>
        <v>0</v>
      </c>
      <c r="AL42" s="193" t="n">
        <f aca="false">L42*B42</f>
        <v>0</v>
      </c>
      <c r="AM42" s="193" t="n">
        <f aca="false">M42*B42</f>
        <v>0</v>
      </c>
      <c r="AN42" s="193" t="n">
        <f aca="false">N42*B42</f>
        <v>0</v>
      </c>
      <c r="AO42" s="193" t="n">
        <f aca="false">O42*B42</f>
        <v>0</v>
      </c>
      <c r="AP42" s="193" t="n">
        <f aca="false">P42*B42</f>
        <v>0</v>
      </c>
      <c r="AQ42" s="193" t="n">
        <f aca="false">Q42*B42</f>
        <v>0</v>
      </c>
      <c r="AR42" s="193" t="n">
        <f aca="false">R42*B42</f>
        <v>0</v>
      </c>
      <c r="AS42" s="193" t="n">
        <f aca="false">S42*B42</f>
        <v>0</v>
      </c>
      <c r="AT42" s="193" t="n">
        <f aca="false">T42*B42</f>
        <v>0</v>
      </c>
      <c r="AU42" s="193" t="n">
        <f aca="false">U42*B42</f>
        <v>0</v>
      </c>
      <c r="AV42" s="193" t="n">
        <f aca="false">V42*B42</f>
        <v>0</v>
      </c>
      <c r="AW42" s="193" t="n">
        <f aca="false">W42*B42</f>
        <v>0</v>
      </c>
      <c r="AX42" s="193" t="n">
        <f aca="false">X42*B42</f>
        <v>0</v>
      </c>
      <c r="AY42" s="193" t="n">
        <f aca="false">SUM(AC42:AX42)</f>
        <v>0</v>
      </c>
      <c r="AZ42" s="192" t="n">
        <f aca="false">AB42*B42</f>
        <v>0</v>
      </c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CB42" s="230"/>
      <c r="CC42" s="230"/>
      <c r="CD42" s="230"/>
      <c r="CE42" s="230"/>
    </row>
    <row r="43" customFormat="false" ht="12.75" hidden="false" customHeight="true" outlineLevel="0" collapsed="false">
      <c r="A43" s="189"/>
      <c r="B43" s="185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8"/>
      <c r="N43" s="188"/>
      <c r="O43" s="188"/>
      <c r="P43" s="188"/>
      <c r="Q43" s="188"/>
      <c r="R43" s="188"/>
      <c r="S43" s="188"/>
      <c r="T43" s="188"/>
      <c r="U43" s="189"/>
      <c r="V43" s="189"/>
      <c r="W43" s="189"/>
      <c r="X43" s="189"/>
      <c r="Y43" s="189" t="n">
        <f aca="false">SUM(D43:X43)</f>
        <v>0</v>
      </c>
      <c r="Z43" s="190"/>
      <c r="AA43" s="191"/>
      <c r="AB43" s="192" t="n">
        <f aca="false">AA43+0.04</f>
        <v>0.04</v>
      </c>
      <c r="AC43" s="193" t="n">
        <f aca="false">C43*B43</f>
        <v>0</v>
      </c>
      <c r="AD43" s="193" t="n">
        <f aca="false">D43*B43</f>
        <v>0</v>
      </c>
      <c r="AE43" s="193" t="n">
        <f aca="false">E43*B43</f>
        <v>0</v>
      </c>
      <c r="AF43" s="193" t="n">
        <f aca="false">F43*B43</f>
        <v>0</v>
      </c>
      <c r="AG43" s="193" t="n">
        <f aca="false">G43*B43</f>
        <v>0</v>
      </c>
      <c r="AH43" s="193" t="n">
        <f aca="false">H43*B43</f>
        <v>0</v>
      </c>
      <c r="AI43" s="193" t="n">
        <f aca="false">I43*B43</f>
        <v>0</v>
      </c>
      <c r="AJ43" s="193" t="n">
        <f aca="false">J43*B43</f>
        <v>0</v>
      </c>
      <c r="AK43" s="193" t="n">
        <f aca="false">K43*B43</f>
        <v>0</v>
      </c>
      <c r="AL43" s="193" t="n">
        <f aca="false">L43*B43</f>
        <v>0</v>
      </c>
      <c r="AM43" s="193" t="n">
        <f aca="false">M43*B43</f>
        <v>0</v>
      </c>
      <c r="AN43" s="193" t="n">
        <f aca="false">N43*B43</f>
        <v>0</v>
      </c>
      <c r="AO43" s="193" t="n">
        <f aca="false">O43*B43</f>
        <v>0</v>
      </c>
      <c r="AP43" s="193" t="n">
        <f aca="false">P43*B43</f>
        <v>0</v>
      </c>
      <c r="AQ43" s="193" t="n">
        <f aca="false">Q43*B43</f>
        <v>0</v>
      </c>
      <c r="AR43" s="193" t="n">
        <f aca="false">R43*B43</f>
        <v>0</v>
      </c>
      <c r="AS43" s="193" t="n">
        <f aca="false">S43*B43</f>
        <v>0</v>
      </c>
      <c r="AT43" s="193" t="n">
        <f aca="false">T43*B43</f>
        <v>0</v>
      </c>
      <c r="AU43" s="193" t="n">
        <f aca="false">U43*B43</f>
        <v>0</v>
      </c>
      <c r="AV43" s="193" t="n">
        <f aca="false">V43*B43</f>
        <v>0</v>
      </c>
      <c r="AW43" s="193" t="n">
        <f aca="false">W43*B43</f>
        <v>0</v>
      </c>
      <c r="AX43" s="193" t="n">
        <f aca="false">X43*B43</f>
        <v>0</v>
      </c>
      <c r="AY43" s="193" t="n">
        <f aca="false">SUM(AC43:AX43)</f>
        <v>0</v>
      </c>
      <c r="AZ43" s="192" t="n">
        <f aca="false">AB43*B43</f>
        <v>0</v>
      </c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</row>
    <row r="44" customFormat="false" ht="12.75" hidden="false" customHeight="true" outlineLevel="0" collapsed="false">
      <c r="A44" s="189"/>
      <c r="B44" s="185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8"/>
      <c r="N44" s="188"/>
      <c r="O44" s="188"/>
      <c r="P44" s="188"/>
      <c r="Q44" s="188"/>
      <c r="R44" s="188"/>
      <c r="S44" s="188"/>
      <c r="T44" s="188"/>
      <c r="U44" s="189"/>
      <c r="V44" s="189"/>
      <c r="W44" s="189"/>
      <c r="X44" s="189"/>
      <c r="Y44" s="189" t="n">
        <f aca="false">SUM(D44:X44)</f>
        <v>0</v>
      </c>
      <c r="Z44" s="190"/>
      <c r="AA44" s="191"/>
      <c r="AB44" s="192" t="n">
        <f aca="false">AA44+0.04</f>
        <v>0.04</v>
      </c>
      <c r="AC44" s="193" t="n">
        <f aca="false">C44*B44</f>
        <v>0</v>
      </c>
      <c r="AD44" s="193" t="n">
        <f aca="false">D44*B44</f>
        <v>0</v>
      </c>
      <c r="AE44" s="193" t="n">
        <f aca="false">E44*B44</f>
        <v>0</v>
      </c>
      <c r="AF44" s="193" t="n">
        <f aca="false">F44*B44</f>
        <v>0</v>
      </c>
      <c r="AG44" s="193" t="n">
        <f aca="false">G44*B44</f>
        <v>0</v>
      </c>
      <c r="AH44" s="193" t="n">
        <f aca="false">H44*B44</f>
        <v>0</v>
      </c>
      <c r="AI44" s="193" t="n">
        <f aca="false">I44*B44</f>
        <v>0</v>
      </c>
      <c r="AJ44" s="193" t="n">
        <f aca="false">J44*B44</f>
        <v>0</v>
      </c>
      <c r="AK44" s="193" t="n">
        <f aca="false">K44*B44</f>
        <v>0</v>
      </c>
      <c r="AL44" s="193" t="n">
        <f aca="false">L44*B44</f>
        <v>0</v>
      </c>
      <c r="AM44" s="193" t="n">
        <f aca="false">M44*B44</f>
        <v>0</v>
      </c>
      <c r="AN44" s="193" t="n">
        <f aca="false">N44*B44</f>
        <v>0</v>
      </c>
      <c r="AO44" s="193" t="n">
        <f aca="false">O44*B44</f>
        <v>0</v>
      </c>
      <c r="AP44" s="193" t="n">
        <f aca="false">P44*B44</f>
        <v>0</v>
      </c>
      <c r="AQ44" s="193" t="n">
        <f aca="false">Q44*B44</f>
        <v>0</v>
      </c>
      <c r="AR44" s="193" t="n">
        <f aca="false">R44*B44</f>
        <v>0</v>
      </c>
      <c r="AS44" s="193" t="n">
        <f aca="false">S44*B44</f>
        <v>0</v>
      </c>
      <c r="AT44" s="193" t="n">
        <f aca="false">T44*B44</f>
        <v>0</v>
      </c>
      <c r="AU44" s="193" t="n">
        <f aca="false">U44*B44</f>
        <v>0</v>
      </c>
      <c r="AV44" s="193" t="n">
        <f aca="false">V44*B44</f>
        <v>0</v>
      </c>
      <c r="AW44" s="193" t="n">
        <f aca="false">W44*B44</f>
        <v>0</v>
      </c>
      <c r="AX44" s="193" t="n">
        <f aca="false">X44*B44</f>
        <v>0</v>
      </c>
      <c r="AY44" s="193" t="n">
        <f aca="false">SUM(AC44:AX44)</f>
        <v>0</v>
      </c>
      <c r="AZ44" s="199" t="n">
        <f aca="false">AB44*B44</f>
        <v>0</v>
      </c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</row>
    <row r="45" customFormat="false" ht="12.75" hidden="false" customHeight="true" outlineLevel="0" collapsed="false">
      <c r="A45" s="200"/>
      <c r="B45" s="117"/>
      <c r="C45" s="201" t="n">
        <f aca="false">AC45</f>
        <v>20</v>
      </c>
      <c r="D45" s="201" t="n">
        <f aca="false">AD45</f>
        <v>20</v>
      </c>
      <c r="E45" s="201" t="n">
        <f aca="false">AE45</f>
        <v>20</v>
      </c>
      <c r="F45" s="201" t="n">
        <f aca="false">AF45</f>
        <v>20</v>
      </c>
      <c r="G45" s="201" t="n">
        <f aca="false">AG45</f>
        <v>20</v>
      </c>
      <c r="H45" s="201" t="n">
        <f aca="false">AH45</f>
        <v>20</v>
      </c>
      <c r="I45" s="201" t="n">
        <f aca="false">AI45</f>
        <v>20</v>
      </c>
      <c r="J45" s="201" t="n">
        <f aca="false">AJ45</f>
        <v>0</v>
      </c>
      <c r="K45" s="201" t="n">
        <f aca="false">AK45</f>
        <v>0</v>
      </c>
      <c r="L45" s="201" t="n">
        <f aca="false">AL45</f>
        <v>0</v>
      </c>
      <c r="M45" s="201" t="n">
        <f aca="false">AM45</f>
        <v>0</v>
      </c>
      <c r="N45" s="201" t="n">
        <f aca="false">AN45</f>
        <v>0</v>
      </c>
      <c r="O45" s="201" t="n">
        <f aca="false">AO45</f>
        <v>0</v>
      </c>
      <c r="P45" s="201" t="n">
        <f aca="false">AP45</f>
        <v>0</v>
      </c>
      <c r="Q45" s="201" t="n">
        <f aca="false">AQ45</f>
        <v>0</v>
      </c>
      <c r="R45" s="201" t="n">
        <f aca="false">AR45</f>
        <v>0</v>
      </c>
      <c r="S45" s="201" t="n">
        <f aca="false">AS45</f>
        <v>0</v>
      </c>
      <c r="T45" s="201" t="n">
        <f aca="false">AT45</f>
        <v>0</v>
      </c>
      <c r="U45" s="201" t="n">
        <f aca="false">U38*R38</f>
        <v>0</v>
      </c>
      <c r="V45" s="201" t="n">
        <f aca="false">V38*S38</f>
        <v>0</v>
      </c>
      <c r="W45" s="201" t="n">
        <f aca="false">W38*T38</f>
        <v>0</v>
      </c>
      <c r="X45" s="201" t="n">
        <f aca="false">X38*U38</f>
        <v>0</v>
      </c>
      <c r="Y45" s="117"/>
      <c r="Z45" s="202"/>
      <c r="AA45" s="203"/>
      <c r="AB45" s="202"/>
      <c r="AC45" s="201" t="n">
        <f aca="false">SUM(AC38:AC44)</f>
        <v>20</v>
      </c>
      <c r="AD45" s="201" t="n">
        <f aca="false">SUM(AD38:AD44)</f>
        <v>20</v>
      </c>
      <c r="AE45" s="201" t="n">
        <f aca="false">SUM(AE38:AE44)</f>
        <v>20</v>
      </c>
      <c r="AF45" s="201" t="n">
        <f aca="false">SUM(AF38:AF44)</f>
        <v>20</v>
      </c>
      <c r="AG45" s="201" t="n">
        <f aca="false">SUM(AG38:AG44)</f>
        <v>20</v>
      </c>
      <c r="AH45" s="201" t="n">
        <f aca="false">SUM(AH38:AH44)</f>
        <v>20</v>
      </c>
      <c r="AI45" s="201" t="n">
        <f aca="false">SUM(AI38:AI44)</f>
        <v>20</v>
      </c>
      <c r="AJ45" s="201" t="n">
        <f aca="false">SUM(AJ38:AJ44)</f>
        <v>0</v>
      </c>
      <c r="AK45" s="201" t="n">
        <f aca="false">SUM(AK38:AK44)</f>
        <v>0</v>
      </c>
      <c r="AL45" s="201" t="n">
        <f aca="false">SUM(AL38:AL44)</f>
        <v>0</v>
      </c>
      <c r="AM45" s="201" t="n">
        <f aca="false">SUM(AM38:AM44)</f>
        <v>0</v>
      </c>
      <c r="AN45" s="201" t="n">
        <f aca="false">SUM(AN38:AN44)</f>
        <v>0</v>
      </c>
      <c r="AO45" s="201" t="n">
        <f aca="false">SUM(AO38:AO44)</f>
        <v>0</v>
      </c>
      <c r="AP45" s="201" t="n">
        <f aca="false">SUM(AP38:AP44)</f>
        <v>0</v>
      </c>
      <c r="AQ45" s="201" t="n">
        <f aca="false">SUM(AQ38:AQ44)</f>
        <v>0</v>
      </c>
      <c r="AR45" s="201" t="n">
        <f aca="false">SUM(AR38:AR44)</f>
        <v>0</v>
      </c>
      <c r="AS45" s="201" t="n">
        <f aca="false">SUM(AS38:AS44)</f>
        <v>0</v>
      </c>
      <c r="AT45" s="201" t="n">
        <f aca="false">SUM(AT38:AT44)</f>
        <v>0</v>
      </c>
      <c r="AU45" s="201" t="n">
        <f aca="false">SUM(AU38:AU44)</f>
        <v>0</v>
      </c>
      <c r="AV45" s="201" t="n">
        <f aca="false">SUM(AV38:AV44)</f>
        <v>0</v>
      </c>
      <c r="AW45" s="201" t="n">
        <f aca="false">SUM(AW38:AW44)</f>
        <v>0</v>
      </c>
      <c r="AX45" s="201" t="n">
        <f aca="false">SUM(AX38:AX44)</f>
        <v>0</v>
      </c>
      <c r="AY45" s="193" t="n">
        <f aca="false">SUM(AC45:AX45)</f>
        <v>140</v>
      </c>
      <c r="AZ45" s="199" t="n">
        <f aca="false">SUM(AZ37:AZ43)</f>
        <v>22</v>
      </c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</row>
    <row r="46" customFormat="false" ht="12.75" hidden="false" customHeight="true" outlineLevel="0" collapsed="false">
      <c r="A46" s="200"/>
      <c r="B46" s="117"/>
      <c r="C46" s="201" t="n">
        <f aca="false">AC46</f>
        <v>0</v>
      </c>
      <c r="D46" s="201" t="n">
        <f aca="false">AD46</f>
        <v>0</v>
      </c>
      <c r="E46" s="201" t="n">
        <f aca="false">AE46</f>
        <v>0</v>
      </c>
      <c r="F46" s="201" t="n">
        <f aca="false">AF46</f>
        <v>0</v>
      </c>
      <c r="G46" s="201" t="n">
        <f aca="false">AG46</f>
        <v>0</v>
      </c>
      <c r="H46" s="201" t="n">
        <f aca="false">AH46</f>
        <v>0</v>
      </c>
      <c r="I46" s="201" t="n">
        <f aca="false">AI46</f>
        <v>0</v>
      </c>
      <c r="J46" s="201" t="n">
        <f aca="false">AJ46</f>
        <v>-20</v>
      </c>
      <c r="K46" s="201" t="n">
        <f aca="false">AK46</f>
        <v>-20</v>
      </c>
      <c r="L46" s="201" t="n">
        <f aca="false">AL46</f>
        <v>-20</v>
      </c>
      <c r="M46" s="201" t="n">
        <f aca="false">AM46</f>
        <v>-20</v>
      </c>
      <c r="N46" s="201" t="n">
        <f aca="false">AN46</f>
        <v>-20</v>
      </c>
      <c r="O46" s="201" t="n">
        <f aca="false">AO46</f>
        <v>-20</v>
      </c>
      <c r="P46" s="201" t="n">
        <f aca="false">AP46</f>
        <v>-20</v>
      </c>
      <c r="Q46" s="201" t="n">
        <f aca="false">AQ46</f>
        <v>-20</v>
      </c>
      <c r="R46" s="201" t="n">
        <f aca="false">AR46</f>
        <v>-20</v>
      </c>
      <c r="S46" s="201" t="n">
        <f aca="false">AS46</f>
        <v>-20</v>
      </c>
      <c r="T46" s="201" t="n">
        <f aca="false">AT46</f>
        <v>-20</v>
      </c>
      <c r="U46" s="202" t="n">
        <f aca="false">U45-U37</f>
        <v>-20</v>
      </c>
      <c r="V46" s="202" t="n">
        <f aca="false">V45-V37</f>
        <v>-20</v>
      </c>
      <c r="W46" s="202" t="n">
        <f aca="false">W45-W37</f>
        <v>-20</v>
      </c>
      <c r="X46" s="202" t="n">
        <f aca="false">X45-X37</f>
        <v>-20</v>
      </c>
      <c r="Y46" s="117"/>
      <c r="Z46" s="202"/>
      <c r="AA46" s="202"/>
      <c r="AB46" s="202"/>
      <c r="AC46" s="201" t="n">
        <f aca="false">AC45-AC37</f>
        <v>0</v>
      </c>
      <c r="AD46" s="201" t="n">
        <f aca="false">AD45-AD37</f>
        <v>0</v>
      </c>
      <c r="AE46" s="201" t="n">
        <f aca="false">AE45-AE37</f>
        <v>0</v>
      </c>
      <c r="AF46" s="201" t="n">
        <f aca="false">AF45-AF37</f>
        <v>0</v>
      </c>
      <c r="AG46" s="201" t="n">
        <f aca="false">AG45-AG37</f>
        <v>0</v>
      </c>
      <c r="AH46" s="201" t="n">
        <f aca="false">AH45-AH37</f>
        <v>0</v>
      </c>
      <c r="AI46" s="201" t="n">
        <f aca="false">AI45-AI37</f>
        <v>0</v>
      </c>
      <c r="AJ46" s="201" t="n">
        <f aca="false">AJ45-AJ37</f>
        <v>-20</v>
      </c>
      <c r="AK46" s="201" t="n">
        <f aca="false">AK45-AK37</f>
        <v>-20</v>
      </c>
      <c r="AL46" s="201" t="n">
        <f aca="false">AL45-AL37</f>
        <v>-20</v>
      </c>
      <c r="AM46" s="201" t="n">
        <f aca="false">AM45-AM37</f>
        <v>-20</v>
      </c>
      <c r="AN46" s="201" t="n">
        <f aca="false">AN45-AN37</f>
        <v>-20</v>
      </c>
      <c r="AO46" s="201" t="n">
        <f aca="false">AO45-AO37</f>
        <v>-20</v>
      </c>
      <c r="AP46" s="201" t="n">
        <f aca="false">AP45-AP37</f>
        <v>-20</v>
      </c>
      <c r="AQ46" s="201" t="n">
        <f aca="false">AQ45-AQ37</f>
        <v>-20</v>
      </c>
      <c r="AR46" s="201" t="n">
        <f aca="false">AR45-AR37</f>
        <v>-20</v>
      </c>
      <c r="AS46" s="201" t="n">
        <f aca="false">AS45-AS37</f>
        <v>-20</v>
      </c>
      <c r="AT46" s="201" t="n">
        <f aca="false">AT45-AT37</f>
        <v>-20</v>
      </c>
      <c r="AU46" s="201" t="n">
        <f aca="false">AU45-AU36</f>
        <v>0</v>
      </c>
      <c r="AV46" s="201" t="n">
        <f aca="false">AV45-AV36</f>
        <v>0</v>
      </c>
      <c r="AW46" s="201" t="n">
        <f aca="false">AW45-AW36</f>
        <v>0</v>
      </c>
      <c r="AX46" s="201" t="n">
        <f aca="false">AX45-AX36</f>
        <v>0</v>
      </c>
      <c r="AY46" s="201"/>
      <c r="AZ46" s="199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</row>
    <row r="47" customFormat="false" ht="12.75" hidden="false" customHeight="true" outlineLevel="0" collapsed="false">
      <c r="A47" s="204"/>
      <c r="B47" s="204"/>
      <c r="C47" s="204"/>
      <c r="D47" s="204"/>
      <c r="E47" s="204"/>
      <c r="F47" s="204"/>
      <c r="G47" s="204"/>
      <c r="H47" s="204"/>
      <c r="I47" s="204"/>
      <c r="J47" s="204" t="str">
        <f aca="false">AZ33</f>
        <v>met 3%</v>
      </c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4"/>
      <c r="Z47" s="206"/>
      <c r="AA47" s="206"/>
      <c r="AB47" s="206"/>
      <c r="AC47" s="206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05"/>
      <c r="AZ47" s="207"/>
      <c r="BA47" s="208"/>
      <c r="BB47" s="208"/>
      <c r="BC47" s="208"/>
      <c r="BD47" s="208"/>
      <c r="BE47" s="208"/>
      <c r="BF47" s="208"/>
      <c r="BG47" s="208"/>
      <c r="BH47" s="208"/>
      <c r="BI47" s="208"/>
      <c r="BJ47" s="208"/>
      <c r="BK47" s="208"/>
      <c r="BL47" s="208"/>
      <c r="BM47" s="208"/>
      <c r="BN47" s="208"/>
      <c r="BO47" s="208"/>
    </row>
    <row r="48" customFormat="false" ht="12.75" hidden="false" customHeight="true" outlineLevel="0" collapsed="false">
      <c r="A48" s="204"/>
      <c r="B48" s="204"/>
      <c r="C48" s="204"/>
      <c r="D48" s="204"/>
      <c r="E48" s="204"/>
      <c r="F48" s="204"/>
      <c r="G48" s="204"/>
      <c r="H48" s="204"/>
      <c r="I48" s="204"/>
      <c r="J48" s="204" t="str">
        <f aca="false">AZ33</f>
        <v>met 3%</v>
      </c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4"/>
      <c r="Z48" s="211"/>
      <c r="AA48" s="205"/>
      <c r="AB48" s="206"/>
      <c r="AC48" s="206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/>
      <c r="AY48" s="212"/>
      <c r="AZ48" s="207"/>
      <c r="BA48" s="208"/>
      <c r="BB48" s="208"/>
      <c r="BC48" s="208"/>
      <c r="BD48" s="208"/>
      <c r="BE48" s="208"/>
      <c r="BF48" s="208"/>
      <c r="BG48" s="208"/>
      <c r="BH48" s="208"/>
      <c r="BI48" s="208"/>
      <c r="BJ48" s="208"/>
      <c r="BK48" s="208"/>
      <c r="BL48" s="208"/>
      <c r="BM48" s="208"/>
      <c r="BN48" s="208"/>
      <c r="BO48" s="208"/>
    </row>
    <row r="49" customFormat="false" ht="13.5" hidden="false" customHeight="true" outlineLevel="0" collapsed="false">
      <c r="A49" s="215"/>
      <c r="B49" s="216"/>
      <c r="C49" s="216"/>
      <c r="D49" s="216"/>
      <c r="E49" s="216"/>
      <c r="F49" s="216"/>
      <c r="G49" s="216"/>
      <c r="H49" s="217"/>
      <c r="I49" s="204"/>
      <c r="J49" s="204"/>
      <c r="K49" s="218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20"/>
      <c r="Z49" s="221" t="s">
        <v>79</v>
      </c>
      <c r="AA49" s="221"/>
      <c r="AB49" s="221"/>
      <c r="AC49" s="222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  <c r="AY49" s="224" t="n">
        <f aca="false">AY33+Y47+Y48</f>
        <v>0.161857142857143</v>
      </c>
      <c r="AZ49" s="225" t="n">
        <f aca="false">AZ32</f>
        <v>0</v>
      </c>
      <c r="BA49" s="208"/>
      <c r="BB49" s="208"/>
      <c r="BC49" s="208"/>
      <c r="BD49" s="208"/>
      <c r="BE49" s="208"/>
      <c r="BF49" s="233"/>
      <c r="BG49" s="233"/>
      <c r="BH49" s="233"/>
      <c r="BI49" s="233"/>
      <c r="BJ49" s="233"/>
      <c r="BK49" s="208"/>
      <c r="BL49" s="208"/>
      <c r="BM49" s="208"/>
      <c r="BN49" s="234"/>
      <c r="BO49" s="208"/>
    </row>
    <row r="51" customFormat="false" ht="31.5" hidden="true" customHeight="true" outlineLevel="0" collapsed="false">
      <c r="A51" s="138" t="n">
        <v>3</v>
      </c>
      <c r="B51" s="139" t="s">
        <v>83</v>
      </c>
      <c r="C51" s="139"/>
      <c r="D51" s="139"/>
      <c r="E51" s="139"/>
      <c r="F51" s="139" t="s">
        <v>65</v>
      </c>
      <c r="G51" s="139"/>
      <c r="H51" s="140" t="n">
        <f aca="false">E1</f>
        <v>0</v>
      </c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1" t="s">
        <v>66</v>
      </c>
      <c r="AB51" s="142" t="n">
        <f aca="false">AZ62/AY62</f>
        <v>0.05</v>
      </c>
      <c r="AC51" s="142"/>
      <c r="AD51" s="143"/>
      <c r="AE51" s="143"/>
      <c r="AF51" s="143"/>
      <c r="AG51" s="144"/>
      <c r="AH51" s="143"/>
      <c r="AI51" s="143"/>
      <c r="AJ51" s="143"/>
      <c r="AK51" s="145"/>
      <c r="AL51" s="145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 t="n">
        <f aca="false">AB51*1.03</f>
        <v>0.0515</v>
      </c>
      <c r="AZ51" s="144" t="s">
        <v>67</v>
      </c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</row>
    <row r="52" customFormat="false" ht="27.75" hidden="true" customHeight="true" outlineLevel="0" collapsed="false">
      <c r="A52" s="138"/>
      <c r="B52" s="228"/>
      <c r="C52" s="228"/>
      <c r="D52" s="228"/>
      <c r="E52" s="228"/>
      <c r="F52" s="139"/>
      <c r="G52" s="139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1"/>
      <c r="AB52" s="143" t="n">
        <f aca="false">AB51/0.9144</f>
        <v>0.0546806649168854</v>
      </c>
      <c r="AC52" s="143"/>
      <c r="AD52" s="155"/>
      <c r="AE52" s="155"/>
      <c r="AF52" s="155"/>
      <c r="AG52" s="142"/>
      <c r="AH52" s="155"/>
      <c r="AI52" s="155"/>
      <c r="AJ52" s="155"/>
      <c r="AK52" s="145"/>
      <c r="AL52" s="145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 t="n">
        <f aca="false">AY51/0.9144</f>
        <v>0.056321084864392</v>
      </c>
      <c r="AZ52" s="142" t="s">
        <v>68</v>
      </c>
      <c r="BA52" s="235" t="n">
        <f aca="false">A56</f>
        <v>0</v>
      </c>
      <c r="BB52" s="235"/>
      <c r="BC52" s="235"/>
      <c r="BD52" s="152"/>
      <c r="BE52" s="152"/>
      <c r="BF52" s="147"/>
      <c r="BG52" s="147"/>
      <c r="BH52" s="152" t="n">
        <f aca="false">A57</f>
        <v>0</v>
      </c>
      <c r="BI52" s="152"/>
      <c r="BJ52" s="152"/>
      <c r="BK52" s="152"/>
      <c r="BL52" s="152"/>
      <c r="BM52" s="152"/>
      <c r="BN52" s="152" t="n">
        <f aca="false">A58</f>
        <v>0</v>
      </c>
      <c r="BO52" s="152"/>
    </row>
    <row r="53" customFormat="false" ht="15" hidden="true" customHeight="true" outlineLevel="0" collapsed="false">
      <c r="A53" s="160" t="s">
        <v>69</v>
      </c>
      <c r="B53" s="161"/>
      <c r="C53" s="162" t="s">
        <v>82</v>
      </c>
      <c r="D53" s="162" t="str">
        <f aca="false">C2</f>
        <v>DR01</v>
      </c>
      <c r="E53" s="162"/>
      <c r="F53" s="162"/>
      <c r="G53" s="162"/>
      <c r="H53" s="162"/>
      <c r="I53" s="162"/>
      <c r="J53" s="162"/>
      <c r="K53" s="162"/>
      <c r="L53" s="162"/>
      <c r="M53" s="163" t="n">
        <f aca="false">M2</f>
        <v>0</v>
      </c>
      <c r="N53" s="163"/>
      <c r="O53" s="163"/>
      <c r="P53" s="163"/>
      <c r="Q53" s="163"/>
      <c r="R53" s="163"/>
      <c r="S53" s="163"/>
      <c r="T53" s="163"/>
      <c r="U53" s="164"/>
      <c r="V53" s="164"/>
      <c r="W53" s="164"/>
      <c r="X53" s="165"/>
      <c r="Y53" s="112" t="s">
        <v>70</v>
      </c>
      <c r="Z53" s="166" t="s">
        <v>71</v>
      </c>
      <c r="AA53" s="166" t="s">
        <v>72</v>
      </c>
      <c r="AB53" s="166" t="s">
        <v>72</v>
      </c>
      <c r="AC53" s="167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12" t="s">
        <v>73</v>
      </c>
      <c r="AZ53" s="166" t="s">
        <v>74</v>
      </c>
      <c r="BA53" s="146"/>
      <c r="BB53" s="146"/>
      <c r="BC53" s="146"/>
      <c r="BD53" s="146"/>
      <c r="BE53" s="146"/>
      <c r="BF53" s="147"/>
      <c r="BG53" s="147"/>
      <c r="BH53" s="146"/>
      <c r="BI53" s="146"/>
      <c r="BJ53" s="146"/>
      <c r="BK53" s="146"/>
      <c r="BL53" s="146"/>
      <c r="BM53" s="146"/>
      <c r="BN53" s="146"/>
      <c r="BO53" s="146"/>
    </row>
    <row r="54" customFormat="false" ht="15" hidden="true" customHeight="false" outlineLevel="0" collapsed="false">
      <c r="A54" s="160"/>
      <c r="B54" s="171" t="s">
        <v>12</v>
      </c>
      <c r="C54" s="172" t="n">
        <f aca="false">C3</f>
        <v>90</v>
      </c>
      <c r="D54" s="172" t="n">
        <f aca="false">D3</f>
        <v>100</v>
      </c>
      <c r="E54" s="172" t="n">
        <f aca="false">E3</f>
        <v>110</v>
      </c>
      <c r="F54" s="177" t="n">
        <f aca="false">F3</f>
        <v>120</v>
      </c>
      <c r="G54" s="177" t="s">
        <v>58</v>
      </c>
      <c r="H54" s="172" t="n">
        <f aca="false">H3</f>
        <v>140</v>
      </c>
      <c r="I54" s="172" t="n">
        <f aca="false">I3</f>
        <v>150</v>
      </c>
      <c r="J54" s="172" t="str">
        <f aca="false">J3</f>
        <v>4XL</v>
      </c>
      <c r="K54" s="172" t="str">
        <f aca="false">K3</f>
        <v>5XL</v>
      </c>
      <c r="L54" s="172" t="str">
        <f aca="false">L3</f>
        <v>7XL</v>
      </c>
      <c r="M54" s="231" t="str">
        <f aca="false">M3</f>
        <v>S</v>
      </c>
      <c r="N54" s="231" t="str">
        <f aca="false">N3</f>
        <v>M</v>
      </c>
      <c r="O54" s="231" t="str">
        <f aca="false">O3</f>
        <v>L</v>
      </c>
      <c r="P54" s="231" t="str">
        <f aca="false">P3</f>
        <v>XL</v>
      </c>
      <c r="Q54" s="231" t="str">
        <f aca="false">Q3</f>
        <v>2XL</v>
      </c>
      <c r="R54" s="231" t="str">
        <f aca="false">R3</f>
        <v>3XL</v>
      </c>
      <c r="S54" s="231" t="str">
        <f aca="false">S3</f>
        <v>4XL</v>
      </c>
      <c r="T54" s="231" t="str">
        <f aca="false">T3</f>
        <v>5XL</v>
      </c>
      <c r="U54" s="120" t="n">
        <f aca="false">U38</f>
        <v>0</v>
      </c>
      <c r="V54" s="120" t="n">
        <f aca="false">V38</f>
        <v>0</v>
      </c>
      <c r="W54" s="120" t="n">
        <f aca="false">W38</f>
        <v>0</v>
      </c>
      <c r="X54" s="120" t="n">
        <f aca="false">X38</f>
        <v>0</v>
      </c>
      <c r="Y54" s="173" t="s">
        <v>75</v>
      </c>
      <c r="Z54" s="174" t="s">
        <v>76</v>
      </c>
      <c r="AA54" s="174" t="s">
        <v>76</v>
      </c>
      <c r="AB54" s="174" t="s">
        <v>77</v>
      </c>
      <c r="AC54" s="175" t="n">
        <f aca="false">C54</f>
        <v>90</v>
      </c>
      <c r="AD54" s="175" t="n">
        <f aca="false">D54</f>
        <v>100</v>
      </c>
      <c r="AE54" s="175" t="n">
        <f aca="false">E54</f>
        <v>110</v>
      </c>
      <c r="AF54" s="236" t="n">
        <f aca="false">F54</f>
        <v>120</v>
      </c>
      <c r="AG54" s="175" t="str">
        <f aca="false">G54</f>
        <v>XL</v>
      </c>
      <c r="AH54" s="175" t="n">
        <f aca="false">H54</f>
        <v>140</v>
      </c>
      <c r="AI54" s="175" t="n">
        <f aca="false">I54</f>
        <v>150</v>
      </c>
      <c r="AJ54" s="175" t="str">
        <f aca="false">J54</f>
        <v>4XL</v>
      </c>
      <c r="AK54" s="175" t="str">
        <f aca="false">K54</f>
        <v>5XL</v>
      </c>
      <c r="AL54" s="175" t="str">
        <f aca="false">L54</f>
        <v>7XL</v>
      </c>
      <c r="AM54" s="175" t="str">
        <f aca="false">M54</f>
        <v>S</v>
      </c>
      <c r="AN54" s="175" t="str">
        <f aca="false">N54</f>
        <v>M</v>
      </c>
      <c r="AO54" s="175" t="str">
        <f aca="false">O54</f>
        <v>L</v>
      </c>
      <c r="AP54" s="175" t="str">
        <f aca="false">P54</f>
        <v>XL</v>
      </c>
      <c r="AQ54" s="175" t="str">
        <f aca="false">Q54</f>
        <v>2XL</v>
      </c>
      <c r="AR54" s="175" t="str">
        <f aca="false">R54</f>
        <v>3XL</v>
      </c>
      <c r="AS54" s="175" t="str">
        <f aca="false">S54</f>
        <v>4XL</v>
      </c>
      <c r="AT54" s="175" t="str">
        <f aca="false">T54</f>
        <v>5XL</v>
      </c>
      <c r="AU54" s="175" t="n">
        <f aca="false">U54</f>
        <v>0</v>
      </c>
      <c r="AV54" s="175" t="n">
        <f aca="false">V54</f>
        <v>0</v>
      </c>
      <c r="AW54" s="175" t="n">
        <f aca="false">W54</f>
        <v>0</v>
      </c>
      <c r="AX54" s="175" t="n">
        <f aca="false">X54</f>
        <v>0</v>
      </c>
      <c r="AY54" s="176" t="n">
        <f aca="false">SUM(AD55:AX55)</f>
        <v>180</v>
      </c>
      <c r="AZ54" s="174"/>
      <c r="BA54" s="146"/>
      <c r="BB54" s="146"/>
      <c r="BC54" s="146"/>
      <c r="BD54" s="146"/>
      <c r="BE54" s="146"/>
      <c r="BF54" s="146"/>
      <c r="BG54" s="146"/>
      <c r="BH54" s="146"/>
      <c r="BI54" s="146"/>
      <c r="BJ54" s="146"/>
      <c r="BK54" s="146"/>
      <c r="BL54" s="146"/>
      <c r="BM54" s="146"/>
      <c r="BN54" s="146"/>
      <c r="BO54" s="146"/>
    </row>
    <row r="55" customFormat="false" ht="15" hidden="true" customHeight="false" outlineLevel="0" collapsed="false">
      <c r="A55" s="160"/>
      <c r="B55" s="160" t="s">
        <v>78</v>
      </c>
      <c r="C55" s="177" t="n">
        <f aca="false">C13</f>
        <v>20</v>
      </c>
      <c r="D55" s="177" t="n">
        <f aca="false">D13</f>
        <v>20</v>
      </c>
      <c r="E55" s="177" t="n">
        <f aca="false">E13</f>
        <v>20</v>
      </c>
      <c r="F55" s="177" t="n">
        <f aca="false">F13</f>
        <v>20</v>
      </c>
      <c r="G55" s="177" t="n">
        <f aca="false">G13</f>
        <v>20</v>
      </c>
      <c r="H55" s="177" t="n">
        <f aca="false">H13</f>
        <v>20</v>
      </c>
      <c r="I55" s="177" t="n">
        <f aca="false">I13</f>
        <v>20</v>
      </c>
      <c r="J55" s="187"/>
      <c r="K55" s="187" t="n">
        <f aca="false">K4</f>
        <v>20</v>
      </c>
      <c r="L55" s="187" t="n">
        <f aca="false">L4</f>
        <v>20</v>
      </c>
      <c r="M55" s="188" t="n">
        <f aca="false">M4</f>
        <v>20</v>
      </c>
      <c r="N55" s="188"/>
      <c r="O55" s="188"/>
      <c r="P55" s="188"/>
      <c r="Q55" s="188" t="n">
        <f aca="false">Q6</f>
        <v>0</v>
      </c>
      <c r="R55" s="188" t="n">
        <f aca="false">R6</f>
        <v>0</v>
      </c>
      <c r="S55" s="188" t="n">
        <f aca="false">S6</f>
        <v>0</v>
      </c>
      <c r="T55" s="188" t="n">
        <f aca="false">T6</f>
        <v>0</v>
      </c>
      <c r="U55" s="177" t="n">
        <f aca="false">U21</f>
        <v>0</v>
      </c>
      <c r="V55" s="177" t="n">
        <f aca="false">V21</f>
        <v>0</v>
      </c>
      <c r="W55" s="177" t="n">
        <f aca="false">W21</f>
        <v>0</v>
      </c>
      <c r="X55" s="177" t="n">
        <f aca="false">X21</f>
        <v>0</v>
      </c>
      <c r="Y55" s="173"/>
      <c r="Z55" s="174"/>
      <c r="AA55" s="174"/>
      <c r="AB55" s="174"/>
      <c r="AC55" s="180" t="n">
        <f aca="false">C55</f>
        <v>20</v>
      </c>
      <c r="AD55" s="180" t="n">
        <f aca="false">D55</f>
        <v>20</v>
      </c>
      <c r="AE55" s="180" t="n">
        <f aca="false">E55</f>
        <v>20</v>
      </c>
      <c r="AF55" s="180" t="n">
        <f aca="false">F55</f>
        <v>20</v>
      </c>
      <c r="AG55" s="180" t="n">
        <f aca="false">G55</f>
        <v>20</v>
      </c>
      <c r="AH55" s="180" t="n">
        <f aca="false">H55</f>
        <v>20</v>
      </c>
      <c r="AI55" s="180" t="n">
        <f aca="false">I55</f>
        <v>20</v>
      </c>
      <c r="AJ55" s="181" t="n">
        <f aca="false">J55</f>
        <v>0</v>
      </c>
      <c r="AK55" s="181" t="n">
        <f aca="false">K55</f>
        <v>20</v>
      </c>
      <c r="AL55" s="181" t="n">
        <f aca="false">L55</f>
        <v>20</v>
      </c>
      <c r="AM55" s="181" t="n">
        <f aca="false">M55</f>
        <v>20</v>
      </c>
      <c r="AN55" s="181" t="n">
        <f aca="false">N55</f>
        <v>0</v>
      </c>
      <c r="AO55" s="181" t="n">
        <f aca="false">O55</f>
        <v>0</v>
      </c>
      <c r="AP55" s="181" t="n">
        <f aca="false">P55</f>
        <v>0</v>
      </c>
      <c r="AQ55" s="181" t="n">
        <f aca="false">Q55</f>
        <v>0</v>
      </c>
      <c r="AR55" s="181" t="n">
        <f aca="false">R55</f>
        <v>0</v>
      </c>
      <c r="AS55" s="181" t="n">
        <f aca="false">S55</f>
        <v>0</v>
      </c>
      <c r="AT55" s="181" t="n">
        <f aca="false">T55</f>
        <v>0</v>
      </c>
      <c r="AU55" s="180" t="n">
        <f aca="false">U55</f>
        <v>0</v>
      </c>
      <c r="AV55" s="180" t="n">
        <f aca="false">V55</f>
        <v>0</v>
      </c>
      <c r="AW55" s="180" t="n">
        <f aca="false">W55</f>
        <v>0</v>
      </c>
      <c r="AX55" s="180" t="n">
        <f aca="false">X55</f>
        <v>0</v>
      </c>
      <c r="AY55" s="176"/>
      <c r="AZ55" s="174"/>
      <c r="BA55" s="146"/>
      <c r="BB55" s="146"/>
      <c r="BC55" s="146"/>
      <c r="BD55" s="146"/>
      <c r="BE55" s="146"/>
      <c r="BF55" s="146"/>
      <c r="BG55" s="146"/>
      <c r="BH55" s="146"/>
      <c r="BI55" s="237"/>
      <c r="BJ55" s="237"/>
      <c r="BK55" s="146"/>
      <c r="BL55" s="146"/>
      <c r="BM55" s="146"/>
      <c r="BN55" s="146"/>
      <c r="BO55" s="146"/>
    </row>
    <row r="56" customFormat="false" ht="12.75" hidden="true" customHeight="true" outlineLevel="0" collapsed="false">
      <c r="A56" s="189"/>
      <c r="B56" s="185" t="n">
        <v>30</v>
      </c>
      <c r="C56" s="186" t="n">
        <v>1</v>
      </c>
      <c r="D56" s="186" t="n">
        <v>1</v>
      </c>
      <c r="E56" s="186" t="n">
        <v>1</v>
      </c>
      <c r="F56" s="186" t="n">
        <v>1</v>
      </c>
      <c r="G56" s="186" t="n">
        <v>1</v>
      </c>
      <c r="H56" s="186" t="n">
        <v>1</v>
      </c>
      <c r="I56" s="187" t="n">
        <v>1</v>
      </c>
      <c r="J56" s="187"/>
      <c r="K56" s="187"/>
      <c r="L56" s="187"/>
      <c r="M56" s="188"/>
      <c r="N56" s="188"/>
      <c r="O56" s="188"/>
      <c r="P56" s="188"/>
      <c r="Q56" s="188"/>
      <c r="R56" s="188"/>
      <c r="S56" s="188"/>
      <c r="T56" s="188"/>
      <c r="U56" s="189"/>
      <c r="V56" s="189"/>
      <c r="W56" s="189"/>
      <c r="X56" s="189"/>
      <c r="Y56" s="189" t="n">
        <f aca="false">SUM(D56:X56)</f>
        <v>6</v>
      </c>
      <c r="Z56" s="190" t="n">
        <v>115</v>
      </c>
      <c r="AA56" s="191" t="n">
        <v>0.31</v>
      </c>
      <c r="AB56" s="192" t="n">
        <f aca="false">AA56+0.04</f>
        <v>0.35</v>
      </c>
      <c r="AC56" s="193" t="n">
        <f aca="false">C56*B56</f>
        <v>30</v>
      </c>
      <c r="AD56" s="193" t="n">
        <f aca="false">D56*B56</f>
        <v>30</v>
      </c>
      <c r="AE56" s="193" t="n">
        <f aca="false">E56*B56</f>
        <v>30</v>
      </c>
      <c r="AF56" s="193" t="n">
        <f aca="false">F56*B56</f>
        <v>30</v>
      </c>
      <c r="AG56" s="193" t="n">
        <f aca="false">G56*B56</f>
        <v>30</v>
      </c>
      <c r="AH56" s="193" t="n">
        <f aca="false">H56*B56</f>
        <v>30</v>
      </c>
      <c r="AI56" s="193" t="n">
        <f aca="false">I56*B56</f>
        <v>30</v>
      </c>
      <c r="AJ56" s="193" t="n">
        <f aca="false">J56*B56</f>
        <v>0</v>
      </c>
      <c r="AK56" s="193" t="n">
        <f aca="false">K56*B56</f>
        <v>0</v>
      </c>
      <c r="AL56" s="193" t="n">
        <f aca="false">L56*C56</f>
        <v>0</v>
      </c>
      <c r="AM56" s="193" t="n">
        <f aca="false">M56*B56</f>
        <v>0</v>
      </c>
      <c r="AN56" s="193" t="n">
        <f aca="false">N56*B56</f>
        <v>0</v>
      </c>
      <c r="AO56" s="193" t="n">
        <f aca="false">O56*B56</f>
        <v>0</v>
      </c>
      <c r="AP56" s="193" t="n">
        <f aca="false">P56*B56</f>
        <v>0</v>
      </c>
      <c r="AQ56" s="193" t="n">
        <f aca="false">Q56*B56</f>
        <v>0</v>
      </c>
      <c r="AR56" s="193" t="n">
        <f aca="false">R56*B56</f>
        <v>0</v>
      </c>
      <c r="AS56" s="193" t="n">
        <f aca="false">S56*B56</f>
        <v>0</v>
      </c>
      <c r="AT56" s="193" t="n">
        <f aca="false">T56*B56</f>
        <v>0</v>
      </c>
      <c r="AU56" s="193" t="n">
        <f aca="false">U56*B56</f>
        <v>0</v>
      </c>
      <c r="AV56" s="193" t="n">
        <f aca="false">V56*B56</f>
        <v>0</v>
      </c>
      <c r="AW56" s="193" t="n">
        <f aca="false">W56*B56</f>
        <v>0</v>
      </c>
      <c r="AX56" s="193" t="n">
        <f aca="false">X56*B56</f>
        <v>0</v>
      </c>
      <c r="AY56" s="193" t="n">
        <f aca="false">SUM(AC56:AX56)</f>
        <v>210</v>
      </c>
      <c r="AZ56" s="192" t="n">
        <f aca="false">AB56*B56</f>
        <v>10.5</v>
      </c>
      <c r="BA56" s="194"/>
      <c r="BB56" s="194"/>
      <c r="BC56" s="194"/>
      <c r="BD56" s="194"/>
      <c r="BE56" s="194"/>
      <c r="BF56" s="194"/>
      <c r="BG56" s="238"/>
      <c r="BH56" s="238"/>
      <c r="BI56" s="194"/>
      <c r="BJ56" s="194"/>
      <c r="BK56" s="194"/>
      <c r="BL56" s="194"/>
      <c r="BM56" s="194"/>
      <c r="BN56" s="194"/>
      <c r="BO56" s="194"/>
    </row>
    <row r="57" customFormat="false" ht="12.75" hidden="true" customHeight="true" outlineLevel="0" collapsed="false">
      <c r="A57" s="189"/>
      <c r="B57" s="185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8"/>
      <c r="N57" s="188"/>
      <c r="O57" s="188"/>
      <c r="P57" s="188"/>
      <c r="Q57" s="188"/>
      <c r="R57" s="188"/>
      <c r="S57" s="188"/>
      <c r="T57" s="188"/>
      <c r="U57" s="189"/>
      <c r="V57" s="189"/>
      <c r="W57" s="189"/>
      <c r="X57" s="189"/>
      <c r="Y57" s="189" t="n">
        <f aca="false">SUM(D57:X57)</f>
        <v>0</v>
      </c>
      <c r="Z57" s="190"/>
      <c r="AA57" s="191"/>
      <c r="AB57" s="192" t="n">
        <f aca="false">AA57+0.04</f>
        <v>0.04</v>
      </c>
      <c r="AC57" s="193" t="n">
        <f aca="false">C57*B57</f>
        <v>0</v>
      </c>
      <c r="AD57" s="193" t="n">
        <f aca="false">D57*B57</f>
        <v>0</v>
      </c>
      <c r="AE57" s="193" t="n">
        <f aca="false">E57*B57</f>
        <v>0</v>
      </c>
      <c r="AF57" s="193" t="n">
        <f aca="false">F57*B57</f>
        <v>0</v>
      </c>
      <c r="AG57" s="193" t="n">
        <f aca="false">G57*B57</f>
        <v>0</v>
      </c>
      <c r="AH57" s="193" t="n">
        <f aca="false">H57*B57</f>
        <v>0</v>
      </c>
      <c r="AI57" s="193" t="n">
        <f aca="false">I57*B57</f>
        <v>0</v>
      </c>
      <c r="AJ57" s="193" t="n">
        <f aca="false">J57*B57</f>
        <v>0</v>
      </c>
      <c r="AK57" s="193" t="n">
        <f aca="false">K57*B57</f>
        <v>0</v>
      </c>
      <c r="AL57" s="193" t="n">
        <f aca="false">L57*C57</f>
        <v>0</v>
      </c>
      <c r="AM57" s="193" t="n">
        <f aca="false">M57*B57</f>
        <v>0</v>
      </c>
      <c r="AN57" s="193" t="n">
        <f aca="false">N57*B57</f>
        <v>0</v>
      </c>
      <c r="AO57" s="193" t="n">
        <f aca="false">O57*B57</f>
        <v>0</v>
      </c>
      <c r="AP57" s="193" t="n">
        <f aca="false">P57*B57</f>
        <v>0</v>
      </c>
      <c r="AQ57" s="193" t="n">
        <f aca="false">Q57*B57</f>
        <v>0</v>
      </c>
      <c r="AR57" s="193" t="n">
        <f aca="false">R57*B57</f>
        <v>0</v>
      </c>
      <c r="AS57" s="193" t="n">
        <f aca="false">S57*B57</f>
        <v>0</v>
      </c>
      <c r="AT57" s="193" t="n">
        <f aca="false">T57*B57</f>
        <v>0</v>
      </c>
      <c r="AU57" s="193" t="n">
        <f aca="false">U57*B57</f>
        <v>0</v>
      </c>
      <c r="AV57" s="193" t="n">
        <f aca="false">V57*B57</f>
        <v>0</v>
      </c>
      <c r="AW57" s="193" t="n">
        <f aca="false">W57*B57</f>
        <v>0</v>
      </c>
      <c r="AX57" s="193" t="n">
        <f aca="false">X57*B57</f>
        <v>0</v>
      </c>
      <c r="AY57" s="193" t="n">
        <f aca="false">SUM(AC57:AX57)</f>
        <v>0</v>
      </c>
      <c r="AZ57" s="192" t="n">
        <f aca="false">AB57*B57</f>
        <v>0</v>
      </c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</row>
    <row r="58" customFormat="false" ht="12.75" hidden="true" customHeight="true" outlineLevel="0" collapsed="false">
      <c r="A58" s="189"/>
      <c r="B58" s="185"/>
      <c r="C58" s="186"/>
      <c r="D58" s="186"/>
      <c r="E58" s="186"/>
      <c r="F58" s="186"/>
      <c r="G58" s="186"/>
      <c r="H58" s="186"/>
      <c r="I58" s="187"/>
      <c r="J58" s="187"/>
      <c r="K58" s="187"/>
      <c r="L58" s="187"/>
      <c r="M58" s="188"/>
      <c r="N58" s="188"/>
      <c r="O58" s="188"/>
      <c r="P58" s="188"/>
      <c r="Q58" s="188"/>
      <c r="R58" s="188"/>
      <c r="S58" s="188"/>
      <c r="T58" s="188"/>
      <c r="U58" s="189"/>
      <c r="V58" s="189"/>
      <c r="W58" s="189"/>
      <c r="X58" s="189"/>
      <c r="Y58" s="189" t="n">
        <f aca="false">SUM(D58:X58)</f>
        <v>0</v>
      </c>
      <c r="Z58" s="190"/>
      <c r="AA58" s="191"/>
      <c r="AB58" s="192" t="n">
        <f aca="false">AA58+0.04</f>
        <v>0.04</v>
      </c>
      <c r="AC58" s="193" t="n">
        <f aca="false">C58*B58</f>
        <v>0</v>
      </c>
      <c r="AD58" s="193" t="n">
        <f aca="false">D58*B58</f>
        <v>0</v>
      </c>
      <c r="AE58" s="193" t="n">
        <f aca="false">E58*B58</f>
        <v>0</v>
      </c>
      <c r="AF58" s="193" t="n">
        <f aca="false">F58*B58</f>
        <v>0</v>
      </c>
      <c r="AG58" s="193" t="n">
        <f aca="false">G58*B58</f>
        <v>0</v>
      </c>
      <c r="AH58" s="193" t="n">
        <f aca="false">H58*B58</f>
        <v>0</v>
      </c>
      <c r="AI58" s="193" t="n">
        <f aca="false">I58*B58</f>
        <v>0</v>
      </c>
      <c r="AJ58" s="193" t="n">
        <f aca="false">J58*B58</f>
        <v>0</v>
      </c>
      <c r="AK58" s="193" t="n">
        <f aca="false">K58*B58</f>
        <v>0</v>
      </c>
      <c r="AL58" s="193" t="n">
        <f aca="false">L58*C58</f>
        <v>0</v>
      </c>
      <c r="AM58" s="193" t="n">
        <f aca="false">M58*B58</f>
        <v>0</v>
      </c>
      <c r="AN58" s="193" t="n">
        <f aca="false">N58*B58</f>
        <v>0</v>
      </c>
      <c r="AO58" s="193" t="n">
        <f aca="false">O58*B58</f>
        <v>0</v>
      </c>
      <c r="AP58" s="193" t="n">
        <f aca="false">P58*B58</f>
        <v>0</v>
      </c>
      <c r="AQ58" s="193" t="n">
        <f aca="false">Q58*B58</f>
        <v>0</v>
      </c>
      <c r="AR58" s="193" t="n">
        <f aca="false">R58*B58</f>
        <v>0</v>
      </c>
      <c r="AS58" s="193" t="n">
        <f aca="false">S58*B58</f>
        <v>0</v>
      </c>
      <c r="AT58" s="193" t="n">
        <f aca="false">T58*B58</f>
        <v>0</v>
      </c>
      <c r="AU58" s="193" t="n">
        <f aca="false">U58*B58</f>
        <v>0</v>
      </c>
      <c r="AV58" s="193" t="n">
        <f aca="false">V58*B58</f>
        <v>0</v>
      </c>
      <c r="AW58" s="193" t="n">
        <f aca="false">W58*B58</f>
        <v>0</v>
      </c>
      <c r="AX58" s="193" t="n">
        <f aca="false">X58*B58</f>
        <v>0</v>
      </c>
      <c r="AY58" s="193" t="n">
        <f aca="false">SUM(AC58:AX58)</f>
        <v>0</v>
      </c>
      <c r="AZ58" s="192" t="n">
        <f aca="false">AB58*B58</f>
        <v>0</v>
      </c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</row>
    <row r="59" customFormat="false" ht="12.75" hidden="true" customHeight="true" outlineLevel="0" collapsed="false">
      <c r="A59" s="189"/>
      <c r="B59" s="185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8"/>
      <c r="N59" s="188"/>
      <c r="O59" s="188"/>
      <c r="P59" s="188"/>
      <c r="Q59" s="188"/>
      <c r="R59" s="188"/>
      <c r="S59" s="188"/>
      <c r="T59" s="188"/>
      <c r="U59" s="189"/>
      <c r="V59" s="189"/>
      <c r="W59" s="189"/>
      <c r="X59" s="189"/>
      <c r="Y59" s="189" t="n">
        <f aca="false">SUM(D59:X59)</f>
        <v>0</v>
      </c>
      <c r="Z59" s="190"/>
      <c r="AA59" s="191"/>
      <c r="AB59" s="192" t="n">
        <f aca="false">AA59+0.04</f>
        <v>0.04</v>
      </c>
      <c r="AC59" s="193" t="n">
        <f aca="false">C59*B59</f>
        <v>0</v>
      </c>
      <c r="AD59" s="193" t="n">
        <f aca="false">D59*B59</f>
        <v>0</v>
      </c>
      <c r="AE59" s="193" t="n">
        <f aca="false">E59*B59</f>
        <v>0</v>
      </c>
      <c r="AF59" s="193" t="n">
        <f aca="false">F59*B59</f>
        <v>0</v>
      </c>
      <c r="AG59" s="193" t="n">
        <f aca="false">G59*B59</f>
        <v>0</v>
      </c>
      <c r="AH59" s="193" t="n">
        <f aca="false">H59*B59</f>
        <v>0</v>
      </c>
      <c r="AI59" s="193" t="n">
        <f aca="false">I59*B59</f>
        <v>0</v>
      </c>
      <c r="AJ59" s="193" t="n">
        <f aca="false">J59*B59</f>
        <v>0</v>
      </c>
      <c r="AK59" s="193" t="n">
        <f aca="false">K59*B59</f>
        <v>0</v>
      </c>
      <c r="AL59" s="193" t="n">
        <f aca="false">L59*C59</f>
        <v>0</v>
      </c>
      <c r="AM59" s="193" t="n">
        <f aca="false">M59*B59</f>
        <v>0</v>
      </c>
      <c r="AN59" s="193" t="n">
        <f aca="false">N59*B59</f>
        <v>0</v>
      </c>
      <c r="AO59" s="193" t="n">
        <f aca="false">O59*B59</f>
        <v>0</v>
      </c>
      <c r="AP59" s="193" t="n">
        <f aca="false">P59*B59</f>
        <v>0</v>
      </c>
      <c r="AQ59" s="193" t="n">
        <f aca="false">Q59*B59</f>
        <v>0</v>
      </c>
      <c r="AR59" s="193" t="n">
        <f aca="false">R59*B59</f>
        <v>0</v>
      </c>
      <c r="AS59" s="193" t="n">
        <f aca="false">S59*B59</f>
        <v>0</v>
      </c>
      <c r="AT59" s="193" t="n">
        <f aca="false">T59*B59</f>
        <v>0</v>
      </c>
      <c r="AU59" s="193" t="n">
        <f aca="false">U59*B59</f>
        <v>0</v>
      </c>
      <c r="AV59" s="193" t="n">
        <f aca="false">V59*B59</f>
        <v>0</v>
      </c>
      <c r="AW59" s="193" t="n">
        <f aca="false">W59*B59</f>
        <v>0</v>
      </c>
      <c r="AX59" s="193" t="n">
        <f aca="false">X59*B59</f>
        <v>0</v>
      </c>
      <c r="AY59" s="193" t="n">
        <f aca="false">SUM(AC59:AX59)</f>
        <v>0</v>
      </c>
      <c r="AZ59" s="192" t="n">
        <f aca="false">AB59*B59</f>
        <v>0</v>
      </c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</row>
    <row r="60" customFormat="false" ht="12.75" hidden="true" customHeight="true" outlineLevel="0" collapsed="false">
      <c r="A60" s="189"/>
      <c r="B60" s="185"/>
      <c r="C60" s="186"/>
      <c r="D60" s="186"/>
      <c r="E60" s="186"/>
      <c r="F60" s="186"/>
      <c r="G60" s="186"/>
      <c r="H60" s="186"/>
      <c r="I60" s="187"/>
      <c r="J60" s="187"/>
      <c r="K60" s="187"/>
      <c r="L60" s="187"/>
      <c r="M60" s="188"/>
      <c r="N60" s="188"/>
      <c r="O60" s="188"/>
      <c r="P60" s="188"/>
      <c r="Q60" s="188"/>
      <c r="R60" s="188"/>
      <c r="S60" s="188"/>
      <c r="T60" s="188"/>
      <c r="U60" s="189"/>
      <c r="V60" s="189"/>
      <c r="W60" s="189"/>
      <c r="X60" s="189"/>
      <c r="Y60" s="189" t="n">
        <f aca="false">SUM(D60:X60)</f>
        <v>0</v>
      </c>
      <c r="Z60" s="190"/>
      <c r="AA60" s="191"/>
      <c r="AB60" s="192" t="n">
        <f aca="false">AA60+0.04</f>
        <v>0.04</v>
      </c>
      <c r="AC60" s="193" t="n">
        <f aca="false">C60*B60</f>
        <v>0</v>
      </c>
      <c r="AD60" s="193" t="n">
        <f aca="false">D60*B60</f>
        <v>0</v>
      </c>
      <c r="AE60" s="193" t="n">
        <f aca="false">E60*B60</f>
        <v>0</v>
      </c>
      <c r="AF60" s="193" t="n">
        <f aca="false">F60*B60</f>
        <v>0</v>
      </c>
      <c r="AG60" s="193" t="n">
        <f aca="false">G60*B60</f>
        <v>0</v>
      </c>
      <c r="AH60" s="193" t="n">
        <f aca="false">H60*B60</f>
        <v>0</v>
      </c>
      <c r="AI60" s="193" t="n">
        <f aca="false">I60*B60</f>
        <v>0</v>
      </c>
      <c r="AJ60" s="193" t="n">
        <f aca="false">J60*B60</f>
        <v>0</v>
      </c>
      <c r="AK60" s="193" t="n">
        <f aca="false">K60*B60</f>
        <v>0</v>
      </c>
      <c r="AL60" s="193" t="n">
        <f aca="false">L60*C60</f>
        <v>0</v>
      </c>
      <c r="AM60" s="193" t="n">
        <f aca="false">M60*B60</f>
        <v>0</v>
      </c>
      <c r="AN60" s="193" t="n">
        <f aca="false">N60*B60</f>
        <v>0</v>
      </c>
      <c r="AO60" s="193" t="n">
        <f aca="false">O60*B60</f>
        <v>0</v>
      </c>
      <c r="AP60" s="193" t="n">
        <f aca="false">P60*B60</f>
        <v>0</v>
      </c>
      <c r="AQ60" s="193" t="n">
        <f aca="false">Q60*B60</f>
        <v>0</v>
      </c>
      <c r="AR60" s="193" t="n">
        <f aca="false">R60*B60</f>
        <v>0</v>
      </c>
      <c r="AS60" s="193" t="n">
        <f aca="false">S60*B60</f>
        <v>0</v>
      </c>
      <c r="AT60" s="193" t="n">
        <f aca="false">T60*B60</f>
        <v>0</v>
      </c>
      <c r="AU60" s="193" t="n">
        <f aca="false">U60*B60</f>
        <v>0</v>
      </c>
      <c r="AV60" s="193" t="n">
        <f aca="false">V60*B60</f>
        <v>0</v>
      </c>
      <c r="AW60" s="193" t="n">
        <f aca="false">W60*B60</f>
        <v>0</v>
      </c>
      <c r="AX60" s="193" t="n">
        <f aca="false">X60*B60</f>
        <v>0</v>
      </c>
      <c r="AY60" s="193" t="n">
        <f aca="false">SUM(AC60:AX60)</f>
        <v>0</v>
      </c>
      <c r="AZ60" s="192" t="n">
        <f aca="false">AB60*B60</f>
        <v>0</v>
      </c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</row>
    <row r="61" customFormat="false" ht="12.75" hidden="true" customHeight="true" outlineLevel="0" collapsed="false">
      <c r="A61" s="189"/>
      <c r="B61" s="185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8"/>
      <c r="N61" s="188"/>
      <c r="O61" s="188"/>
      <c r="P61" s="188"/>
      <c r="Q61" s="188"/>
      <c r="R61" s="188"/>
      <c r="S61" s="188"/>
      <c r="T61" s="188"/>
      <c r="U61" s="189"/>
      <c r="V61" s="189"/>
      <c r="W61" s="189"/>
      <c r="X61" s="189"/>
      <c r="Y61" s="189" t="n">
        <f aca="false">SUM(D61:X61)</f>
        <v>0</v>
      </c>
      <c r="Z61" s="190"/>
      <c r="AA61" s="191"/>
      <c r="AB61" s="192" t="n">
        <f aca="false">AA61+0.04</f>
        <v>0.04</v>
      </c>
      <c r="AC61" s="193" t="n">
        <f aca="false">C61*B61</f>
        <v>0</v>
      </c>
      <c r="AD61" s="193" t="n">
        <f aca="false">D61*B61</f>
        <v>0</v>
      </c>
      <c r="AE61" s="193" t="n">
        <f aca="false">E61*B61</f>
        <v>0</v>
      </c>
      <c r="AF61" s="193" t="n">
        <f aca="false">F61*B61</f>
        <v>0</v>
      </c>
      <c r="AG61" s="193" t="n">
        <f aca="false">G61*B61</f>
        <v>0</v>
      </c>
      <c r="AH61" s="193" t="n">
        <f aca="false">H61*B61</f>
        <v>0</v>
      </c>
      <c r="AI61" s="193" t="n">
        <f aca="false">I61*B61</f>
        <v>0</v>
      </c>
      <c r="AJ61" s="193" t="n">
        <f aca="false">J61*B61</f>
        <v>0</v>
      </c>
      <c r="AK61" s="193" t="n">
        <f aca="false">K61*B61</f>
        <v>0</v>
      </c>
      <c r="AL61" s="193" t="n">
        <f aca="false">L61*C61</f>
        <v>0</v>
      </c>
      <c r="AM61" s="193" t="n">
        <f aca="false">M61*B61</f>
        <v>0</v>
      </c>
      <c r="AN61" s="193" t="n">
        <f aca="false">N61*B61</f>
        <v>0</v>
      </c>
      <c r="AO61" s="193" t="n">
        <f aca="false">O61*B61</f>
        <v>0</v>
      </c>
      <c r="AP61" s="193" t="n">
        <f aca="false">P61*B61</f>
        <v>0</v>
      </c>
      <c r="AQ61" s="193" t="n">
        <f aca="false">Q61*B61</f>
        <v>0</v>
      </c>
      <c r="AR61" s="193" t="n">
        <f aca="false">R61*B61</f>
        <v>0</v>
      </c>
      <c r="AS61" s="193" t="n">
        <f aca="false">S61*B61</f>
        <v>0</v>
      </c>
      <c r="AT61" s="193" t="n">
        <f aca="false">T61*B61</f>
        <v>0</v>
      </c>
      <c r="AU61" s="193" t="n">
        <f aca="false">U61*B61</f>
        <v>0</v>
      </c>
      <c r="AV61" s="193" t="n">
        <f aca="false">V61*B61</f>
        <v>0</v>
      </c>
      <c r="AW61" s="193" t="n">
        <f aca="false">W61*B61</f>
        <v>0</v>
      </c>
      <c r="AX61" s="193" t="n">
        <f aca="false">X61*B61</f>
        <v>0</v>
      </c>
      <c r="AY61" s="193" t="n">
        <f aca="false">SUM(AC61:AX61)</f>
        <v>0</v>
      </c>
      <c r="AZ61" s="192" t="n">
        <f aca="false">AB61*B61</f>
        <v>0</v>
      </c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</row>
    <row r="62" customFormat="false" ht="12.75" hidden="true" customHeight="true" outlineLevel="0" collapsed="false">
      <c r="A62" s="200"/>
      <c r="B62" s="117"/>
      <c r="C62" s="201" t="n">
        <f aca="false">AC62</f>
        <v>30</v>
      </c>
      <c r="D62" s="201" t="n">
        <f aca="false">AD62</f>
        <v>30</v>
      </c>
      <c r="E62" s="201" t="n">
        <f aca="false">AE62</f>
        <v>30</v>
      </c>
      <c r="F62" s="201" t="n">
        <f aca="false">AF62</f>
        <v>30</v>
      </c>
      <c r="G62" s="201" t="n">
        <f aca="false">AG62</f>
        <v>30</v>
      </c>
      <c r="H62" s="201" t="n">
        <f aca="false">AH62</f>
        <v>30</v>
      </c>
      <c r="I62" s="201" t="n">
        <f aca="false">AI62</f>
        <v>30</v>
      </c>
      <c r="J62" s="201" t="n">
        <f aca="false">AJ62</f>
        <v>0</v>
      </c>
      <c r="K62" s="201" t="n">
        <f aca="false">AK62</f>
        <v>0</v>
      </c>
      <c r="L62" s="201" t="n">
        <f aca="false">AL62</f>
        <v>0</v>
      </c>
      <c r="M62" s="201" t="n">
        <f aca="false">AM62</f>
        <v>0</v>
      </c>
      <c r="N62" s="201" t="n">
        <f aca="false">AN62</f>
        <v>0</v>
      </c>
      <c r="O62" s="201" t="n">
        <f aca="false">AO62</f>
        <v>0</v>
      </c>
      <c r="P62" s="201" t="n">
        <f aca="false">AP62</f>
        <v>0</v>
      </c>
      <c r="Q62" s="201" t="n">
        <f aca="false">AQ62</f>
        <v>0</v>
      </c>
      <c r="R62" s="201" t="n">
        <f aca="false">AR62</f>
        <v>0</v>
      </c>
      <c r="S62" s="201" t="n">
        <f aca="false">AS62</f>
        <v>0</v>
      </c>
      <c r="T62" s="201" t="n">
        <f aca="false">AT62</f>
        <v>0</v>
      </c>
      <c r="U62" s="201" t="n">
        <f aca="false">U56*R56</f>
        <v>0</v>
      </c>
      <c r="V62" s="201" t="n">
        <f aca="false">V56*S56</f>
        <v>0</v>
      </c>
      <c r="W62" s="201" t="n">
        <f aca="false">W56*T56</f>
        <v>0</v>
      </c>
      <c r="X62" s="201" t="n">
        <f aca="false">X56*U56</f>
        <v>0</v>
      </c>
      <c r="Y62" s="117"/>
      <c r="Z62" s="202"/>
      <c r="AA62" s="203"/>
      <c r="AB62" s="202"/>
      <c r="AC62" s="201" t="n">
        <f aca="false">SUM(AC56:AC61)</f>
        <v>30</v>
      </c>
      <c r="AD62" s="201" t="n">
        <f aca="false">SUM(AD56:AD61)</f>
        <v>30</v>
      </c>
      <c r="AE62" s="201" t="n">
        <f aca="false">SUM(AE56:AE61)</f>
        <v>30</v>
      </c>
      <c r="AF62" s="201" t="n">
        <f aca="false">SUM(AF56:AF61)</f>
        <v>30</v>
      </c>
      <c r="AG62" s="201" t="n">
        <f aca="false">SUM(AG56:AG61)</f>
        <v>30</v>
      </c>
      <c r="AH62" s="201" t="n">
        <f aca="false">SUM(AH56:AH61)</f>
        <v>30</v>
      </c>
      <c r="AI62" s="201" t="n">
        <f aca="false">SUM(AI56:AI61)</f>
        <v>30</v>
      </c>
      <c r="AJ62" s="201" t="n">
        <f aca="false">SUM(AJ56:AJ61)</f>
        <v>0</v>
      </c>
      <c r="AK62" s="201" t="n">
        <f aca="false">SUM(AK56:AK61)</f>
        <v>0</v>
      </c>
      <c r="AL62" s="201" t="n">
        <f aca="false">SUM(AL56:AL61)</f>
        <v>0</v>
      </c>
      <c r="AM62" s="201" t="n">
        <f aca="false">SUM(AM56:AM61)</f>
        <v>0</v>
      </c>
      <c r="AN62" s="201" t="n">
        <f aca="false">SUM(AN56:AN61)</f>
        <v>0</v>
      </c>
      <c r="AO62" s="201" t="n">
        <f aca="false">SUM(AO56:AO61)</f>
        <v>0</v>
      </c>
      <c r="AP62" s="201" t="n">
        <f aca="false">SUM(AP56:AP61)</f>
        <v>0</v>
      </c>
      <c r="AQ62" s="201" t="n">
        <f aca="false">SUM(AQ56:AQ61)</f>
        <v>0</v>
      </c>
      <c r="AR62" s="201" t="n">
        <f aca="false">SUM(AR56:AR61)</f>
        <v>0</v>
      </c>
      <c r="AS62" s="201" t="n">
        <f aca="false">SUM(AS56:AS61)</f>
        <v>0</v>
      </c>
      <c r="AT62" s="201" t="n">
        <f aca="false">SUM(AT56:AT61)</f>
        <v>0</v>
      </c>
      <c r="AU62" s="201" t="n">
        <f aca="false">SUM(AU56:AU61)</f>
        <v>0</v>
      </c>
      <c r="AV62" s="201" t="n">
        <f aca="false">SUM(AV56:AV61)</f>
        <v>0</v>
      </c>
      <c r="AW62" s="201" t="n">
        <f aca="false">SUM(AW56:AW61)</f>
        <v>0</v>
      </c>
      <c r="AX62" s="201" t="n">
        <f aca="false">SUM(AX56:AX61)</f>
        <v>0</v>
      </c>
      <c r="AY62" s="193" t="n">
        <f aca="false">SUM(AC62:AX62)</f>
        <v>210</v>
      </c>
      <c r="AZ62" s="199" t="n">
        <f aca="false">SUM(AZ55:AZ61)</f>
        <v>10.5</v>
      </c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  <c r="BO62" s="194"/>
    </row>
    <row r="63" customFormat="false" ht="12.75" hidden="true" customHeight="true" outlineLevel="0" collapsed="false">
      <c r="A63" s="200"/>
      <c r="B63" s="117"/>
      <c r="C63" s="201" t="n">
        <f aca="false">AC63</f>
        <v>10</v>
      </c>
      <c r="D63" s="201" t="n">
        <f aca="false">AD63</f>
        <v>10</v>
      </c>
      <c r="E63" s="201" t="n">
        <f aca="false">AE63</f>
        <v>10</v>
      </c>
      <c r="F63" s="201" t="n">
        <f aca="false">AF63</f>
        <v>10</v>
      </c>
      <c r="G63" s="201" t="n">
        <f aca="false">AG63</f>
        <v>10</v>
      </c>
      <c r="H63" s="201" t="n">
        <f aca="false">AH63</f>
        <v>10</v>
      </c>
      <c r="I63" s="201" t="n">
        <f aca="false">AI63</f>
        <v>10</v>
      </c>
      <c r="J63" s="201" t="n">
        <f aca="false">AJ63</f>
        <v>0</v>
      </c>
      <c r="K63" s="201" t="n">
        <f aca="false">AK63</f>
        <v>-20</v>
      </c>
      <c r="L63" s="201" t="n">
        <f aca="false">AL63</f>
        <v>-20</v>
      </c>
      <c r="M63" s="201" t="n">
        <f aca="false">AM63</f>
        <v>-20</v>
      </c>
      <c r="N63" s="201" t="n">
        <f aca="false">AN63</f>
        <v>0</v>
      </c>
      <c r="O63" s="201" t="n">
        <f aca="false">AO63</f>
        <v>0</v>
      </c>
      <c r="P63" s="201" t="n">
        <f aca="false">AP63</f>
        <v>0</v>
      </c>
      <c r="Q63" s="201" t="n">
        <f aca="false">AQ63</f>
        <v>0</v>
      </c>
      <c r="R63" s="201" t="n">
        <f aca="false">AR63</f>
        <v>0</v>
      </c>
      <c r="S63" s="201" t="n">
        <f aca="false">AS63</f>
        <v>0</v>
      </c>
      <c r="T63" s="201" t="n">
        <f aca="false">AT63</f>
        <v>0</v>
      </c>
      <c r="U63" s="202" t="n">
        <f aca="false">U62-U55</f>
        <v>0</v>
      </c>
      <c r="V63" s="202" t="n">
        <f aca="false">V62-V55</f>
        <v>0</v>
      </c>
      <c r="W63" s="202" t="n">
        <f aca="false">W62-W55</f>
        <v>0</v>
      </c>
      <c r="X63" s="202" t="n">
        <f aca="false">X62-X55</f>
        <v>0</v>
      </c>
      <c r="Y63" s="117"/>
      <c r="Z63" s="202"/>
      <c r="AA63" s="202"/>
      <c r="AB63" s="202"/>
      <c r="AC63" s="201" t="n">
        <f aca="false">AC62-AC55</f>
        <v>10</v>
      </c>
      <c r="AD63" s="201" t="n">
        <f aca="false">AD62-AD55</f>
        <v>10</v>
      </c>
      <c r="AE63" s="201" t="n">
        <f aca="false">AE62-AE55</f>
        <v>10</v>
      </c>
      <c r="AF63" s="201" t="n">
        <f aca="false">AF62-AF55</f>
        <v>10</v>
      </c>
      <c r="AG63" s="201" t="n">
        <f aca="false">AG62-AG55</f>
        <v>10</v>
      </c>
      <c r="AH63" s="201" t="n">
        <f aca="false">AH62-AH55</f>
        <v>10</v>
      </c>
      <c r="AI63" s="201" t="n">
        <f aca="false">AI62-AI55</f>
        <v>10</v>
      </c>
      <c r="AJ63" s="201" t="n">
        <f aca="false">AJ62-AJ55</f>
        <v>0</v>
      </c>
      <c r="AK63" s="201" t="n">
        <f aca="false">AK62-AK55</f>
        <v>-20</v>
      </c>
      <c r="AL63" s="201" t="n">
        <f aca="false">AL62-AL55</f>
        <v>-20</v>
      </c>
      <c r="AM63" s="201" t="n">
        <f aca="false">AM62-AM55</f>
        <v>-20</v>
      </c>
      <c r="AN63" s="201" t="n">
        <f aca="false">AN62-AN55</f>
        <v>0</v>
      </c>
      <c r="AO63" s="201" t="n">
        <f aca="false">AO62-AO55</f>
        <v>0</v>
      </c>
      <c r="AP63" s="201" t="n">
        <f aca="false">AP62-AP55</f>
        <v>0</v>
      </c>
      <c r="AQ63" s="201" t="n">
        <f aca="false">AQ62-AQ55</f>
        <v>0</v>
      </c>
      <c r="AR63" s="201" t="n">
        <f aca="false">AR62-AR55</f>
        <v>0</v>
      </c>
      <c r="AS63" s="201" t="n">
        <f aca="false">AS62-AS55</f>
        <v>0</v>
      </c>
      <c r="AT63" s="201" t="n">
        <f aca="false">AT62-AT55</f>
        <v>0</v>
      </c>
      <c r="AU63" s="201" t="n">
        <f aca="false">AU62-AU55</f>
        <v>0</v>
      </c>
      <c r="AV63" s="201" t="n">
        <f aca="false">AV62-AV55</f>
        <v>0</v>
      </c>
      <c r="AW63" s="201" t="n">
        <f aca="false">AW62-AW55</f>
        <v>0</v>
      </c>
      <c r="AX63" s="201" t="n">
        <f aca="false">AX62-AX55</f>
        <v>0</v>
      </c>
      <c r="AY63" s="201"/>
      <c r="AZ63" s="199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</row>
    <row r="64" customFormat="false" ht="12.75" hidden="true" customHeight="true" outlineLevel="0" collapsed="false">
      <c r="A64" s="204"/>
      <c r="B64" s="204"/>
      <c r="C64" s="204"/>
      <c r="D64" s="204"/>
      <c r="E64" s="204"/>
      <c r="F64" s="204"/>
      <c r="G64" s="204"/>
      <c r="H64" s="204"/>
      <c r="I64" s="204"/>
      <c r="J64" s="204" t="str">
        <f aca="false">AZ51</f>
        <v>met 3%</v>
      </c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4"/>
      <c r="Z64" s="206"/>
      <c r="AA64" s="206"/>
      <c r="AB64" s="206"/>
      <c r="AC64" s="206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7"/>
      <c r="BA64" s="208"/>
      <c r="BB64" s="208"/>
      <c r="BC64" s="208"/>
      <c r="BD64" s="208"/>
      <c r="BE64" s="208"/>
      <c r="BF64" s="208"/>
      <c r="BG64" s="208"/>
      <c r="BH64" s="208"/>
      <c r="BI64" s="208"/>
      <c r="BJ64" s="208"/>
      <c r="BK64" s="208"/>
      <c r="BL64" s="208"/>
      <c r="BM64" s="208"/>
      <c r="BN64" s="208"/>
      <c r="BO64" s="208"/>
    </row>
    <row r="65" customFormat="false" ht="12.75" hidden="true" customHeight="true" outlineLevel="0" collapsed="false">
      <c r="A65" s="204"/>
      <c r="B65" s="204"/>
      <c r="C65" s="204"/>
      <c r="D65" s="204"/>
      <c r="E65" s="204"/>
      <c r="F65" s="204"/>
      <c r="G65" s="204"/>
      <c r="H65" s="204"/>
      <c r="I65" s="204"/>
      <c r="J65" s="204" t="str">
        <f aca="false">AZ51</f>
        <v>met 3%</v>
      </c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4"/>
      <c r="Z65" s="211"/>
      <c r="AA65" s="205"/>
      <c r="AB65" s="206"/>
      <c r="AC65" s="206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12"/>
      <c r="AZ65" s="207"/>
      <c r="BA65" s="208"/>
      <c r="BB65" s="208"/>
      <c r="BC65" s="208"/>
      <c r="BD65" s="208"/>
      <c r="BE65" s="208"/>
      <c r="BF65" s="208"/>
      <c r="BG65" s="208"/>
      <c r="BH65" s="208"/>
      <c r="BI65" s="208"/>
      <c r="BJ65" s="208"/>
      <c r="BK65" s="208"/>
      <c r="BL65" s="208"/>
      <c r="BM65" s="208"/>
      <c r="BN65" s="208"/>
      <c r="BO65" s="208"/>
    </row>
    <row r="66" customFormat="false" ht="15" hidden="true" customHeight="false" outlineLevel="0" collapsed="false">
      <c r="A66" s="215"/>
      <c r="B66" s="216"/>
      <c r="C66" s="216"/>
      <c r="D66" s="216"/>
      <c r="E66" s="216"/>
      <c r="F66" s="216"/>
      <c r="G66" s="216"/>
      <c r="H66" s="217"/>
      <c r="I66" s="204"/>
      <c r="J66" s="204"/>
      <c r="K66" s="218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20"/>
      <c r="Z66" s="221" t="s">
        <v>79</v>
      </c>
      <c r="AA66" s="221"/>
      <c r="AB66" s="221"/>
      <c r="AC66" s="222"/>
      <c r="AD66" s="223"/>
      <c r="AE66" s="223"/>
      <c r="AF66" s="223"/>
      <c r="AG66" s="223"/>
      <c r="AH66" s="223"/>
      <c r="AI66" s="223"/>
      <c r="AJ66" s="223"/>
      <c r="AK66" s="223"/>
      <c r="AL66" s="223"/>
      <c r="AM66" s="223"/>
      <c r="AN66" s="223"/>
      <c r="AO66" s="223"/>
      <c r="AP66" s="223"/>
      <c r="AQ66" s="223"/>
      <c r="AR66" s="223"/>
      <c r="AS66" s="223"/>
      <c r="AT66" s="223"/>
      <c r="AU66" s="223"/>
      <c r="AV66" s="223"/>
      <c r="AW66" s="223"/>
      <c r="AX66" s="223"/>
      <c r="AY66" s="224" t="n">
        <f aca="false">AY51+Y64+Y65</f>
        <v>0.0515</v>
      </c>
      <c r="AZ66" s="225" t="n">
        <f aca="false">AZ50</f>
        <v>0</v>
      </c>
      <c r="BA66" s="208"/>
      <c r="BB66" s="208"/>
      <c r="BC66" s="208"/>
      <c r="BD66" s="208"/>
      <c r="BE66" s="208"/>
      <c r="BF66" s="208"/>
      <c r="BG66" s="208"/>
      <c r="BH66" s="208"/>
      <c r="BI66" s="208"/>
      <c r="BJ66" s="208"/>
      <c r="BK66" s="208"/>
      <c r="BL66" s="208"/>
      <c r="BM66" s="208"/>
      <c r="BN66" s="208"/>
      <c r="BO66" s="208"/>
    </row>
    <row r="68" customFormat="false" ht="31.5" hidden="true" customHeight="true" outlineLevel="0" collapsed="false">
      <c r="A68" s="138" t="n">
        <v>4</v>
      </c>
      <c r="B68" s="139" t="s">
        <v>84</v>
      </c>
      <c r="C68" s="139"/>
      <c r="D68" s="139"/>
      <c r="E68" s="139"/>
      <c r="F68" s="139" t="s">
        <v>65</v>
      </c>
      <c r="G68" s="139"/>
      <c r="H68" s="140" t="n">
        <f aca="false">E1</f>
        <v>0</v>
      </c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1" t="s">
        <v>66</v>
      </c>
      <c r="AB68" s="142" t="n">
        <f aca="false">AZ79/AY79</f>
        <v>0.029</v>
      </c>
      <c r="AC68" s="142"/>
      <c r="AD68" s="143"/>
      <c r="AE68" s="143"/>
      <c r="AF68" s="143"/>
      <c r="AG68" s="144"/>
      <c r="AH68" s="143"/>
      <c r="AI68" s="143"/>
      <c r="AJ68" s="143"/>
      <c r="AK68" s="145"/>
      <c r="AL68" s="145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 t="n">
        <f aca="false">AB68*1.03</f>
        <v>0.02987</v>
      </c>
      <c r="AZ68" s="144" t="s">
        <v>67</v>
      </c>
      <c r="BA68" s="146" t="n">
        <f aca="false">AY66+AY83</f>
        <v>0.08137</v>
      </c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6"/>
      <c r="BN68" s="146"/>
      <c r="BO68" s="146"/>
    </row>
    <row r="69" customFormat="false" ht="31.5" hidden="true" customHeight="true" outlineLevel="0" collapsed="false">
      <c r="A69" s="138"/>
      <c r="B69" s="138"/>
      <c r="C69" s="138"/>
      <c r="D69" s="138"/>
      <c r="E69" s="138"/>
      <c r="F69" s="139"/>
      <c r="G69" s="139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1"/>
      <c r="AB69" s="143" t="n">
        <f aca="false">AB68/0.9144</f>
        <v>0.0317147856517935</v>
      </c>
      <c r="AC69" s="143"/>
      <c r="AD69" s="155"/>
      <c r="AE69" s="155"/>
      <c r="AF69" s="155"/>
      <c r="AG69" s="142"/>
      <c r="AH69" s="155"/>
      <c r="AI69" s="155"/>
      <c r="AJ69" s="155"/>
      <c r="AK69" s="145"/>
      <c r="AL69" s="145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 t="n">
        <f aca="false">AY68/0.9144</f>
        <v>0.0326662292213473</v>
      </c>
      <c r="AZ69" s="142" t="s">
        <v>68</v>
      </c>
      <c r="BA69" s="235"/>
      <c r="BB69" s="235"/>
      <c r="BC69" s="235"/>
      <c r="BD69" s="152"/>
      <c r="BE69" s="149"/>
      <c r="BF69" s="149"/>
      <c r="BG69" s="149"/>
      <c r="BH69" s="152"/>
      <c r="BI69" s="152"/>
      <c r="BJ69" s="229"/>
      <c r="BK69" s="229"/>
      <c r="BL69" s="229"/>
      <c r="BM69" s="229"/>
      <c r="BN69" s="152"/>
      <c r="BO69" s="152"/>
    </row>
    <row r="70" customFormat="false" ht="15" hidden="true" customHeight="true" outlineLevel="0" collapsed="false">
      <c r="A70" s="160" t="s">
        <v>69</v>
      </c>
      <c r="B70" s="161"/>
      <c r="C70" s="162" t="str">
        <f aca="false">C2</f>
        <v>DR01</v>
      </c>
      <c r="D70" s="162"/>
      <c r="E70" s="162"/>
      <c r="F70" s="162"/>
      <c r="G70" s="162"/>
      <c r="H70" s="162"/>
      <c r="I70" s="162"/>
      <c r="J70" s="162"/>
      <c r="K70" s="162"/>
      <c r="L70" s="162"/>
      <c r="M70" s="163" t="n">
        <f aca="false">M2</f>
        <v>0</v>
      </c>
      <c r="N70" s="163"/>
      <c r="O70" s="163"/>
      <c r="P70" s="163"/>
      <c r="Q70" s="163"/>
      <c r="R70" s="163"/>
      <c r="S70" s="163"/>
      <c r="T70" s="163"/>
      <c r="U70" s="164"/>
      <c r="V70" s="164"/>
      <c r="W70" s="164"/>
      <c r="X70" s="165"/>
      <c r="Y70" s="112" t="s">
        <v>70</v>
      </c>
      <c r="Z70" s="166" t="s">
        <v>71</v>
      </c>
      <c r="AA70" s="166" t="s">
        <v>72</v>
      </c>
      <c r="AB70" s="166" t="s">
        <v>72</v>
      </c>
      <c r="AC70" s="167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12" t="s">
        <v>73</v>
      </c>
      <c r="AZ70" s="166" t="s">
        <v>74</v>
      </c>
      <c r="BA70" s="146"/>
      <c r="BB70" s="146"/>
      <c r="BC70" s="146"/>
      <c r="BD70" s="146"/>
      <c r="BE70" s="146"/>
      <c r="BF70" s="146"/>
      <c r="BG70" s="146" t="n">
        <f aca="false">A74</f>
        <v>0</v>
      </c>
      <c r="BH70" s="146"/>
      <c r="BI70" s="146"/>
      <c r="BJ70" s="146"/>
      <c r="BK70" s="146"/>
      <c r="BL70" s="146"/>
      <c r="BM70" s="146"/>
      <c r="BN70" s="146"/>
      <c r="BO70" s="146"/>
    </row>
    <row r="71" customFormat="false" ht="15" hidden="true" customHeight="false" outlineLevel="0" collapsed="false">
      <c r="A71" s="160"/>
      <c r="B71" s="171" t="s">
        <v>12</v>
      </c>
      <c r="C71" s="172" t="n">
        <f aca="false">C3</f>
        <v>90</v>
      </c>
      <c r="D71" s="172" t="n">
        <f aca="false">D3</f>
        <v>100</v>
      </c>
      <c r="E71" s="172" t="n">
        <f aca="false">E3</f>
        <v>110</v>
      </c>
      <c r="F71" s="172" t="n">
        <f aca="false">F3</f>
        <v>120</v>
      </c>
      <c r="G71" s="172" t="n">
        <f aca="false">G3</f>
        <v>130</v>
      </c>
      <c r="H71" s="172" t="n">
        <f aca="false">H3</f>
        <v>140</v>
      </c>
      <c r="I71" s="172" t="n">
        <f aca="false">I3</f>
        <v>150</v>
      </c>
      <c r="J71" s="172" t="str">
        <f aca="false">J3</f>
        <v>4XL</v>
      </c>
      <c r="K71" s="172" t="str">
        <f aca="false">K3</f>
        <v>5XL</v>
      </c>
      <c r="L71" s="172" t="str">
        <f aca="false">L3</f>
        <v>7XL</v>
      </c>
      <c r="M71" s="231" t="str">
        <f aca="false">M3</f>
        <v>S</v>
      </c>
      <c r="N71" s="231" t="str">
        <f aca="false">N3</f>
        <v>M</v>
      </c>
      <c r="O71" s="231" t="str">
        <f aca="false">O3</f>
        <v>L</v>
      </c>
      <c r="P71" s="231" t="str">
        <f aca="false">P3</f>
        <v>XL</v>
      </c>
      <c r="Q71" s="231" t="str">
        <f aca="false">Q3</f>
        <v>2XL</v>
      </c>
      <c r="R71" s="231" t="str">
        <f aca="false">R3</f>
        <v>3XL</v>
      </c>
      <c r="S71" s="231" t="str">
        <f aca="false">S3</f>
        <v>4XL</v>
      </c>
      <c r="T71" s="231" t="str">
        <f aca="false">T3</f>
        <v>5XL</v>
      </c>
      <c r="U71" s="120" t="n">
        <f aca="false">U56</f>
        <v>0</v>
      </c>
      <c r="V71" s="120" t="n">
        <f aca="false">V56</f>
        <v>0</v>
      </c>
      <c r="W71" s="120" t="n">
        <f aca="false">W56</f>
        <v>0</v>
      </c>
      <c r="X71" s="120" t="n">
        <f aca="false">X56</f>
        <v>0</v>
      </c>
      <c r="Y71" s="173" t="s">
        <v>75</v>
      </c>
      <c r="Z71" s="174" t="s">
        <v>76</v>
      </c>
      <c r="AA71" s="174" t="s">
        <v>76</v>
      </c>
      <c r="AB71" s="174" t="s">
        <v>77</v>
      </c>
      <c r="AC71" s="175" t="n">
        <f aca="false">C71</f>
        <v>90</v>
      </c>
      <c r="AD71" s="175" t="n">
        <f aca="false">D71</f>
        <v>100</v>
      </c>
      <c r="AE71" s="175" t="n">
        <f aca="false">E71</f>
        <v>110</v>
      </c>
      <c r="AF71" s="175" t="n">
        <f aca="false">F71</f>
        <v>120</v>
      </c>
      <c r="AG71" s="175" t="n">
        <f aca="false">G71</f>
        <v>130</v>
      </c>
      <c r="AH71" s="175" t="n">
        <f aca="false">H71</f>
        <v>140</v>
      </c>
      <c r="AI71" s="175" t="n">
        <f aca="false">I71</f>
        <v>150</v>
      </c>
      <c r="AJ71" s="175" t="str">
        <f aca="false">J71</f>
        <v>4XL</v>
      </c>
      <c r="AK71" s="175" t="str">
        <f aca="false">K71</f>
        <v>5XL</v>
      </c>
      <c r="AL71" s="175" t="str">
        <f aca="false">L71</f>
        <v>7XL</v>
      </c>
      <c r="AM71" s="175" t="str">
        <f aca="false">M71</f>
        <v>S</v>
      </c>
      <c r="AN71" s="175" t="str">
        <f aca="false">N71</f>
        <v>M</v>
      </c>
      <c r="AO71" s="175" t="str">
        <f aca="false">O71</f>
        <v>L</v>
      </c>
      <c r="AP71" s="175" t="str">
        <f aca="false">P71</f>
        <v>XL</v>
      </c>
      <c r="AQ71" s="175" t="str">
        <f aca="false">Q71</f>
        <v>2XL</v>
      </c>
      <c r="AR71" s="175" t="str">
        <f aca="false">R71</f>
        <v>3XL</v>
      </c>
      <c r="AS71" s="175" t="str">
        <f aca="false">S71</f>
        <v>4XL</v>
      </c>
      <c r="AT71" s="175" t="str">
        <f aca="false">T71</f>
        <v>5XL</v>
      </c>
      <c r="AU71" s="175" t="n">
        <f aca="false">U71</f>
        <v>0</v>
      </c>
      <c r="AV71" s="175" t="n">
        <f aca="false">V71</f>
        <v>0</v>
      </c>
      <c r="AW71" s="175" t="n">
        <f aca="false">W71</f>
        <v>0</v>
      </c>
      <c r="AX71" s="175" t="n">
        <f aca="false">X71</f>
        <v>0</v>
      </c>
      <c r="AY71" s="232" t="n">
        <f aca="false">SUM(C72:T72)</f>
        <v>450</v>
      </c>
      <c r="AZ71" s="174"/>
      <c r="BA71" s="146" t="n">
        <f aca="false">A73</f>
        <v>0</v>
      </c>
      <c r="BB71" s="146"/>
      <c r="BC71" s="146"/>
      <c r="BD71" s="146"/>
      <c r="BE71" s="146"/>
      <c r="BF71" s="146"/>
      <c r="BG71" s="146"/>
      <c r="BH71" s="146"/>
      <c r="BI71" s="146"/>
      <c r="BJ71" s="146"/>
      <c r="BK71" s="146"/>
      <c r="BL71" s="146"/>
      <c r="BM71" s="146"/>
      <c r="BN71" s="146"/>
      <c r="BO71" s="146"/>
    </row>
    <row r="72" customFormat="false" ht="19.5" hidden="true" customHeight="true" outlineLevel="0" collapsed="false">
      <c r="A72" s="160"/>
      <c r="B72" s="160" t="s">
        <v>78</v>
      </c>
      <c r="C72" s="177"/>
      <c r="D72" s="186"/>
      <c r="E72" s="186"/>
      <c r="F72" s="186" t="n">
        <v>200</v>
      </c>
      <c r="G72" s="186" t="n">
        <v>250</v>
      </c>
      <c r="H72" s="186"/>
      <c r="I72" s="187"/>
      <c r="J72" s="187"/>
      <c r="K72" s="187"/>
      <c r="L72" s="187"/>
      <c r="M72" s="188"/>
      <c r="N72" s="188"/>
      <c r="O72" s="188" t="n">
        <f aca="false">O6+O5</f>
        <v>0</v>
      </c>
      <c r="P72" s="188" t="n">
        <f aca="false">P6+P5</f>
        <v>0</v>
      </c>
      <c r="Q72" s="178" t="n">
        <f aca="false">Q39</f>
        <v>0</v>
      </c>
      <c r="R72" s="178" t="n">
        <f aca="false">R39</f>
        <v>0</v>
      </c>
      <c r="S72" s="178" t="n">
        <f aca="false">S39</f>
        <v>0</v>
      </c>
      <c r="T72" s="178" t="n">
        <f aca="false">T39</f>
        <v>0</v>
      </c>
      <c r="U72" s="177" t="n">
        <f aca="false">U39</f>
        <v>0</v>
      </c>
      <c r="V72" s="177" t="n">
        <f aca="false">V39</f>
        <v>0</v>
      </c>
      <c r="W72" s="177" t="n">
        <f aca="false">W39</f>
        <v>0</v>
      </c>
      <c r="X72" s="177" t="n">
        <f aca="false">X39</f>
        <v>0</v>
      </c>
      <c r="Y72" s="173"/>
      <c r="Z72" s="174"/>
      <c r="AA72" s="174"/>
      <c r="AB72" s="174"/>
      <c r="AC72" s="180" t="n">
        <f aca="false">C72</f>
        <v>0</v>
      </c>
      <c r="AD72" s="181" t="n">
        <f aca="false">D72</f>
        <v>0</v>
      </c>
      <c r="AE72" s="181" t="n">
        <f aca="false">E72</f>
        <v>0</v>
      </c>
      <c r="AF72" s="181" t="n">
        <f aca="false">F72</f>
        <v>200</v>
      </c>
      <c r="AG72" s="181" t="n">
        <f aca="false">G72</f>
        <v>250</v>
      </c>
      <c r="AH72" s="181" t="n">
        <f aca="false">H72</f>
        <v>0</v>
      </c>
      <c r="AI72" s="181" t="n">
        <f aca="false">I72</f>
        <v>0</v>
      </c>
      <c r="AJ72" s="181" t="n">
        <f aca="false">J72</f>
        <v>0</v>
      </c>
      <c r="AK72" s="181" t="n">
        <f aca="false">K72</f>
        <v>0</v>
      </c>
      <c r="AL72" s="181" t="n">
        <f aca="false">L72</f>
        <v>0</v>
      </c>
      <c r="AM72" s="181" t="n">
        <f aca="false">M72</f>
        <v>0</v>
      </c>
      <c r="AN72" s="181" t="n">
        <f aca="false">N72</f>
        <v>0</v>
      </c>
      <c r="AO72" s="181" t="n">
        <f aca="false">O72</f>
        <v>0</v>
      </c>
      <c r="AP72" s="181" t="n">
        <f aca="false">P72</f>
        <v>0</v>
      </c>
      <c r="AQ72" s="180" t="n">
        <f aca="false">Q72</f>
        <v>0</v>
      </c>
      <c r="AR72" s="180" t="n">
        <f aca="false">R72</f>
        <v>0</v>
      </c>
      <c r="AS72" s="180" t="n">
        <f aca="false">S72</f>
        <v>0</v>
      </c>
      <c r="AT72" s="180" t="n">
        <f aca="false">T72</f>
        <v>0</v>
      </c>
      <c r="AU72" s="180" t="n">
        <f aca="false">U72</f>
        <v>0</v>
      </c>
      <c r="AV72" s="180" t="n">
        <f aca="false">V72</f>
        <v>0</v>
      </c>
      <c r="AW72" s="180" t="n">
        <f aca="false">W72</f>
        <v>0</v>
      </c>
      <c r="AX72" s="180" t="n">
        <f aca="false">X72</f>
        <v>0</v>
      </c>
      <c r="AY72" s="232"/>
      <c r="AZ72" s="174"/>
      <c r="BA72" s="146"/>
      <c r="BB72" s="146"/>
      <c r="BC72" s="146"/>
      <c r="BD72" s="146"/>
      <c r="BE72" s="146"/>
      <c r="BF72" s="146"/>
      <c r="BG72" s="146"/>
      <c r="BH72" s="146"/>
      <c r="BI72" s="146"/>
      <c r="BJ72" s="146"/>
      <c r="BK72" s="146"/>
      <c r="BL72" s="146"/>
      <c r="BM72" s="146"/>
      <c r="BN72" s="146"/>
      <c r="BO72" s="146"/>
    </row>
    <row r="73" customFormat="false" ht="12.75" hidden="true" customHeight="true" outlineLevel="0" collapsed="false">
      <c r="A73" s="189"/>
      <c r="B73" s="185" t="n">
        <v>23</v>
      </c>
      <c r="C73" s="186"/>
      <c r="D73" s="186"/>
      <c r="E73" s="186"/>
      <c r="F73" s="186" t="n">
        <v>9</v>
      </c>
      <c r="G73" s="186" t="n">
        <v>11</v>
      </c>
      <c r="H73" s="186"/>
      <c r="I73" s="187"/>
      <c r="J73" s="187"/>
      <c r="K73" s="187"/>
      <c r="L73" s="187"/>
      <c r="M73" s="188"/>
      <c r="N73" s="188"/>
      <c r="O73" s="188"/>
      <c r="P73" s="188"/>
      <c r="Q73" s="188"/>
      <c r="R73" s="188"/>
      <c r="S73" s="188"/>
      <c r="T73" s="188"/>
      <c r="U73" s="189"/>
      <c r="V73" s="189"/>
      <c r="W73" s="189"/>
      <c r="X73" s="189"/>
      <c r="Y73" s="189" t="n">
        <f aca="false">SUM(D73:X73)</f>
        <v>20</v>
      </c>
      <c r="Z73" s="190" t="n">
        <v>162</v>
      </c>
      <c r="AA73" s="191" t="n">
        <v>0.54</v>
      </c>
      <c r="AB73" s="192" t="n">
        <f aca="false">AA73+0.04</f>
        <v>0.58</v>
      </c>
      <c r="AC73" s="193" t="n">
        <f aca="false">C73*B73</f>
        <v>0</v>
      </c>
      <c r="AD73" s="193" t="n">
        <f aca="false">D73*B73</f>
        <v>0</v>
      </c>
      <c r="AE73" s="193" t="n">
        <f aca="false">E73*B73</f>
        <v>0</v>
      </c>
      <c r="AF73" s="193" t="n">
        <f aca="false">F73*B73</f>
        <v>207</v>
      </c>
      <c r="AG73" s="193" t="n">
        <f aca="false">G73*B73</f>
        <v>253</v>
      </c>
      <c r="AH73" s="193" t="n">
        <f aca="false">H73*B73</f>
        <v>0</v>
      </c>
      <c r="AI73" s="193" t="n">
        <f aca="false">I73*B73</f>
        <v>0</v>
      </c>
      <c r="AJ73" s="193" t="n">
        <f aca="false">J73*B73</f>
        <v>0</v>
      </c>
      <c r="AK73" s="193" t="n">
        <f aca="false">K73*B73</f>
        <v>0</v>
      </c>
      <c r="AL73" s="193" t="n">
        <f aca="false">L73*C73</f>
        <v>0</v>
      </c>
      <c r="AM73" s="193" t="n">
        <f aca="false">M73*B73</f>
        <v>0</v>
      </c>
      <c r="AN73" s="193" t="n">
        <f aca="false">N73*B73</f>
        <v>0</v>
      </c>
      <c r="AO73" s="193" t="n">
        <f aca="false">O73*B73</f>
        <v>0</v>
      </c>
      <c r="AP73" s="193" t="n">
        <f aca="false">P73*B73</f>
        <v>0</v>
      </c>
      <c r="AQ73" s="193" t="n">
        <f aca="false">Q73*B73</f>
        <v>0</v>
      </c>
      <c r="AR73" s="193" t="n">
        <f aca="false">R73*B73</f>
        <v>0</v>
      </c>
      <c r="AS73" s="193" t="n">
        <f aca="false">S73*B73</f>
        <v>0</v>
      </c>
      <c r="AT73" s="193" t="n">
        <f aca="false">T73*B73</f>
        <v>0</v>
      </c>
      <c r="AU73" s="193" t="n">
        <f aca="false">U73*B73</f>
        <v>0</v>
      </c>
      <c r="AV73" s="193" t="n">
        <f aca="false">V73*B73</f>
        <v>0</v>
      </c>
      <c r="AW73" s="193" t="n">
        <f aca="false">W73*B73</f>
        <v>0</v>
      </c>
      <c r="AX73" s="193" t="n">
        <f aca="false">X73*B73</f>
        <v>0</v>
      </c>
      <c r="AY73" s="193" t="n">
        <f aca="false">SUM(AC73:AX73)</f>
        <v>460</v>
      </c>
      <c r="AZ73" s="192" t="n">
        <f aca="false">AB73*B73</f>
        <v>13.34</v>
      </c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</row>
    <row r="74" customFormat="false" ht="12.75" hidden="true" customHeight="true" outlineLevel="0" collapsed="false">
      <c r="A74" s="189"/>
      <c r="B74" s="185"/>
      <c r="C74" s="187"/>
      <c r="D74" s="186"/>
      <c r="E74" s="186"/>
      <c r="F74" s="186"/>
      <c r="G74" s="186"/>
      <c r="H74" s="186"/>
      <c r="I74" s="187"/>
      <c r="J74" s="187"/>
      <c r="K74" s="187"/>
      <c r="L74" s="187"/>
      <c r="M74" s="188"/>
      <c r="N74" s="188"/>
      <c r="O74" s="188"/>
      <c r="P74" s="188"/>
      <c r="Q74" s="188"/>
      <c r="R74" s="188"/>
      <c r="S74" s="188"/>
      <c r="T74" s="188"/>
      <c r="U74" s="189"/>
      <c r="V74" s="189"/>
      <c r="W74" s="189"/>
      <c r="X74" s="189"/>
      <c r="Y74" s="189" t="n">
        <f aca="false">SUM(D74:X74)</f>
        <v>0</v>
      </c>
      <c r="Z74" s="190" t="n">
        <v>162</v>
      </c>
      <c r="AA74" s="191"/>
      <c r="AB74" s="192" t="n">
        <f aca="false">AA74+0.04</f>
        <v>0.04</v>
      </c>
      <c r="AC74" s="193" t="n">
        <f aca="false">C74*B74</f>
        <v>0</v>
      </c>
      <c r="AD74" s="193" t="n">
        <f aca="false">D74*B74</f>
        <v>0</v>
      </c>
      <c r="AE74" s="193" t="n">
        <f aca="false">E74*B74</f>
        <v>0</v>
      </c>
      <c r="AF74" s="193" t="n">
        <f aca="false">F74*B74</f>
        <v>0</v>
      </c>
      <c r="AG74" s="193" t="n">
        <f aca="false">G74*B74</f>
        <v>0</v>
      </c>
      <c r="AH74" s="193" t="n">
        <f aca="false">H74*B74</f>
        <v>0</v>
      </c>
      <c r="AI74" s="193" t="n">
        <f aca="false">I74*B74</f>
        <v>0</v>
      </c>
      <c r="AJ74" s="193" t="n">
        <f aca="false">J74*B74</f>
        <v>0</v>
      </c>
      <c r="AK74" s="193" t="n">
        <f aca="false">K74*B74</f>
        <v>0</v>
      </c>
      <c r="AL74" s="193" t="n">
        <f aca="false">L74*C74</f>
        <v>0</v>
      </c>
      <c r="AM74" s="193" t="n">
        <f aca="false">M74*B74</f>
        <v>0</v>
      </c>
      <c r="AN74" s="193" t="n">
        <f aca="false">N74*B74</f>
        <v>0</v>
      </c>
      <c r="AO74" s="193" t="n">
        <f aca="false">O74*B74</f>
        <v>0</v>
      </c>
      <c r="AP74" s="193" t="n">
        <f aca="false">P74*B74</f>
        <v>0</v>
      </c>
      <c r="AQ74" s="193" t="n">
        <f aca="false">Q74*B74</f>
        <v>0</v>
      </c>
      <c r="AR74" s="193" t="n">
        <f aca="false">R74*B74</f>
        <v>0</v>
      </c>
      <c r="AS74" s="193" t="n">
        <f aca="false">S74*B74</f>
        <v>0</v>
      </c>
      <c r="AT74" s="193" t="n">
        <f aca="false">T74*B74</f>
        <v>0</v>
      </c>
      <c r="AU74" s="193" t="n">
        <f aca="false">U74*B74</f>
        <v>0</v>
      </c>
      <c r="AV74" s="193" t="n">
        <f aca="false">V74*B74</f>
        <v>0</v>
      </c>
      <c r="AW74" s="193" t="n">
        <f aca="false">W74*B74</f>
        <v>0</v>
      </c>
      <c r="AX74" s="193" t="n">
        <f aca="false">X74*B74</f>
        <v>0</v>
      </c>
      <c r="AY74" s="193" t="n">
        <f aca="false">SUM(AC74:AX74)</f>
        <v>0</v>
      </c>
      <c r="AZ74" s="192" t="n">
        <f aca="false">AB74*B74</f>
        <v>0</v>
      </c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</row>
    <row r="75" customFormat="false" ht="12.75" hidden="true" customHeight="true" outlineLevel="0" collapsed="false">
      <c r="A75" s="189"/>
      <c r="B75" s="185"/>
      <c r="C75" s="186"/>
      <c r="D75" s="186"/>
      <c r="E75" s="186"/>
      <c r="F75" s="186"/>
      <c r="G75" s="186"/>
      <c r="H75" s="186"/>
      <c r="I75" s="187"/>
      <c r="J75" s="187"/>
      <c r="K75" s="187"/>
      <c r="L75" s="187"/>
      <c r="M75" s="188"/>
      <c r="N75" s="188"/>
      <c r="O75" s="188"/>
      <c r="P75" s="188"/>
      <c r="Q75" s="188"/>
      <c r="R75" s="188"/>
      <c r="S75" s="188"/>
      <c r="T75" s="188"/>
      <c r="U75" s="189"/>
      <c r="V75" s="189"/>
      <c r="W75" s="189"/>
      <c r="X75" s="189"/>
      <c r="Y75" s="189" t="n">
        <f aca="false">SUM(D75:X75)</f>
        <v>0</v>
      </c>
      <c r="Z75" s="190"/>
      <c r="AA75" s="191"/>
      <c r="AB75" s="192" t="n">
        <f aca="false">AA75+0.04</f>
        <v>0.04</v>
      </c>
      <c r="AC75" s="193" t="n">
        <f aca="false">C75*B75</f>
        <v>0</v>
      </c>
      <c r="AD75" s="193" t="n">
        <f aca="false">D75*B75</f>
        <v>0</v>
      </c>
      <c r="AE75" s="193" t="n">
        <f aca="false">E75*B75</f>
        <v>0</v>
      </c>
      <c r="AF75" s="193" t="n">
        <f aca="false">F75*B75</f>
        <v>0</v>
      </c>
      <c r="AG75" s="193" t="n">
        <f aca="false">G75*B75</f>
        <v>0</v>
      </c>
      <c r="AH75" s="193" t="n">
        <f aca="false">H75*B75</f>
        <v>0</v>
      </c>
      <c r="AI75" s="193" t="n">
        <f aca="false">I75*B75</f>
        <v>0</v>
      </c>
      <c r="AJ75" s="193" t="n">
        <f aca="false">J75*B75</f>
        <v>0</v>
      </c>
      <c r="AK75" s="193" t="n">
        <f aca="false">K75*B75</f>
        <v>0</v>
      </c>
      <c r="AL75" s="193" t="n">
        <f aca="false">L75*C75</f>
        <v>0</v>
      </c>
      <c r="AM75" s="193" t="n">
        <f aca="false">M75*B75</f>
        <v>0</v>
      </c>
      <c r="AN75" s="193" t="n">
        <f aca="false">N75*B75</f>
        <v>0</v>
      </c>
      <c r="AO75" s="193" t="n">
        <f aca="false">O75*B75</f>
        <v>0</v>
      </c>
      <c r="AP75" s="193" t="n">
        <f aca="false">P75*B75</f>
        <v>0</v>
      </c>
      <c r="AQ75" s="193" t="n">
        <f aca="false">Q75*B75</f>
        <v>0</v>
      </c>
      <c r="AR75" s="193" t="n">
        <f aca="false">R75*B75</f>
        <v>0</v>
      </c>
      <c r="AS75" s="193" t="n">
        <f aca="false">S75*B75</f>
        <v>0</v>
      </c>
      <c r="AT75" s="193" t="n">
        <f aca="false">T75*B75</f>
        <v>0</v>
      </c>
      <c r="AU75" s="193" t="n">
        <f aca="false">U75*B75</f>
        <v>0</v>
      </c>
      <c r="AV75" s="193" t="n">
        <f aca="false">V75*B75</f>
        <v>0</v>
      </c>
      <c r="AW75" s="193" t="n">
        <f aca="false">W75*B75</f>
        <v>0</v>
      </c>
      <c r="AX75" s="193" t="n">
        <f aca="false">X75*B75</f>
        <v>0</v>
      </c>
      <c r="AY75" s="193" t="n">
        <f aca="false">SUM(AC75:AX75)</f>
        <v>0</v>
      </c>
      <c r="AZ75" s="192" t="n">
        <f aca="false">AB75*B75</f>
        <v>0</v>
      </c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</row>
    <row r="76" customFormat="false" ht="12.75" hidden="true" customHeight="true" outlineLevel="0" collapsed="false">
      <c r="A76" s="189"/>
      <c r="B76" s="185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8"/>
      <c r="N76" s="188"/>
      <c r="O76" s="188"/>
      <c r="P76" s="188"/>
      <c r="Q76" s="188"/>
      <c r="R76" s="188"/>
      <c r="S76" s="188"/>
      <c r="T76" s="188"/>
      <c r="U76" s="189"/>
      <c r="V76" s="189"/>
      <c r="W76" s="189"/>
      <c r="X76" s="189"/>
      <c r="Y76" s="189" t="n">
        <f aca="false">SUM(D76:X76)</f>
        <v>0</v>
      </c>
      <c r="Z76" s="190"/>
      <c r="AA76" s="191"/>
      <c r="AB76" s="192" t="n">
        <f aca="false">AA76+0.04</f>
        <v>0.04</v>
      </c>
      <c r="AC76" s="193" t="n">
        <f aca="false">C76*B76</f>
        <v>0</v>
      </c>
      <c r="AD76" s="193" t="n">
        <f aca="false">D76*B76</f>
        <v>0</v>
      </c>
      <c r="AE76" s="193" t="n">
        <f aca="false">E76*B76</f>
        <v>0</v>
      </c>
      <c r="AF76" s="193" t="n">
        <f aca="false">F76*B76</f>
        <v>0</v>
      </c>
      <c r="AG76" s="193" t="n">
        <f aca="false">G76*B76</f>
        <v>0</v>
      </c>
      <c r="AH76" s="193" t="n">
        <f aca="false">H76*B76</f>
        <v>0</v>
      </c>
      <c r="AI76" s="193" t="n">
        <f aca="false">I76*B76</f>
        <v>0</v>
      </c>
      <c r="AJ76" s="193" t="n">
        <f aca="false">J76*B76</f>
        <v>0</v>
      </c>
      <c r="AK76" s="193" t="n">
        <f aca="false">K76*B76</f>
        <v>0</v>
      </c>
      <c r="AL76" s="193" t="n">
        <f aca="false">L76*C76</f>
        <v>0</v>
      </c>
      <c r="AM76" s="193" t="n">
        <f aca="false">M76*B76</f>
        <v>0</v>
      </c>
      <c r="AN76" s="193" t="n">
        <f aca="false">N76*B76</f>
        <v>0</v>
      </c>
      <c r="AO76" s="193" t="n">
        <f aca="false">O76*B76</f>
        <v>0</v>
      </c>
      <c r="AP76" s="193" t="n">
        <f aca="false">P76*B76</f>
        <v>0</v>
      </c>
      <c r="AQ76" s="193" t="n">
        <f aca="false">Q76*B76</f>
        <v>0</v>
      </c>
      <c r="AR76" s="193" t="n">
        <f aca="false">R76*B76</f>
        <v>0</v>
      </c>
      <c r="AS76" s="193" t="n">
        <f aca="false">S76*B76</f>
        <v>0</v>
      </c>
      <c r="AT76" s="193" t="n">
        <f aca="false">T76*B76</f>
        <v>0</v>
      </c>
      <c r="AU76" s="193" t="n">
        <f aca="false">U76*B76</f>
        <v>0</v>
      </c>
      <c r="AV76" s="193" t="n">
        <f aca="false">V76*B76</f>
        <v>0</v>
      </c>
      <c r="AW76" s="193" t="n">
        <f aca="false">W76*B76</f>
        <v>0</v>
      </c>
      <c r="AX76" s="193" t="n">
        <f aca="false">X76*B76</f>
        <v>0</v>
      </c>
      <c r="AY76" s="193" t="n">
        <f aca="false">SUM(AC76:AX76)</f>
        <v>0</v>
      </c>
      <c r="AZ76" s="192" t="n">
        <f aca="false">AB76*B76</f>
        <v>0</v>
      </c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</row>
    <row r="77" customFormat="false" ht="12.75" hidden="true" customHeight="true" outlineLevel="0" collapsed="false">
      <c r="A77" s="189"/>
      <c r="B77" s="185"/>
      <c r="C77" s="186"/>
      <c r="D77" s="186"/>
      <c r="E77" s="186"/>
      <c r="F77" s="186"/>
      <c r="G77" s="186"/>
      <c r="H77" s="186"/>
      <c r="I77" s="187"/>
      <c r="J77" s="187"/>
      <c r="K77" s="187"/>
      <c r="L77" s="187"/>
      <c r="M77" s="188"/>
      <c r="N77" s="188"/>
      <c r="O77" s="188"/>
      <c r="P77" s="188"/>
      <c r="Q77" s="188"/>
      <c r="R77" s="188"/>
      <c r="S77" s="188"/>
      <c r="T77" s="188"/>
      <c r="U77" s="189"/>
      <c r="V77" s="189"/>
      <c r="W77" s="189"/>
      <c r="X77" s="189"/>
      <c r="Y77" s="189" t="n">
        <f aca="false">SUM(D77:X77)</f>
        <v>0</v>
      </c>
      <c r="Z77" s="190"/>
      <c r="AA77" s="191"/>
      <c r="AB77" s="192" t="n">
        <f aca="false">AA77+0.04</f>
        <v>0.04</v>
      </c>
      <c r="AC77" s="193" t="n">
        <f aca="false">C77*B77</f>
        <v>0</v>
      </c>
      <c r="AD77" s="193" t="n">
        <f aca="false">D77*B77</f>
        <v>0</v>
      </c>
      <c r="AE77" s="193" t="n">
        <f aca="false">E77*B77</f>
        <v>0</v>
      </c>
      <c r="AF77" s="193" t="n">
        <f aca="false">F77*B77</f>
        <v>0</v>
      </c>
      <c r="AG77" s="193" t="n">
        <f aca="false">G77*B77</f>
        <v>0</v>
      </c>
      <c r="AH77" s="193" t="n">
        <f aca="false">H77*B77</f>
        <v>0</v>
      </c>
      <c r="AI77" s="193" t="n">
        <f aca="false">I77*B77</f>
        <v>0</v>
      </c>
      <c r="AJ77" s="193" t="n">
        <f aca="false">J77*B77</f>
        <v>0</v>
      </c>
      <c r="AK77" s="193" t="n">
        <f aca="false">K77*B77</f>
        <v>0</v>
      </c>
      <c r="AL77" s="193" t="n">
        <f aca="false">L77*C77</f>
        <v>0</v>
      </c>
      <c r="AM77" s="193" t="n">
        <f aca="false">M77*B77</f>
        <v>0</v>
      </c>
      <c r="AN77" s="193" t="n">
        <f aca="false">N77*B77</f>
        <v>0</v>
      </c>
      <c r="AO77" s="193" t="n">
        <f aca="false">O77*B77</f>
        <v>0</v>
      </c>
      <c r="AP77" s="193" t="n">
        <f aca="false">P77*B77</f>
        <v>0</v>
      </c>
      <c r="AQ77" s="193" t="n">
        <f aca="false">Q77*B77</f>
        <v>0</v>
      </c>
      <c r="AR77" s="193" t="n">
        <f aca="false">R77*B77</f>
        <v>0</v>
      </c>
      <c r="AS77" s="193" t="n">
        <f aca="false">S77*B77</f>
        <v>0</v>
      </c>
      <c r="AT77" s="193" t="n">
        <f aca="false">T77*B77</f>
        <v>0</v>
      </c>
      <c r="AU77" s="193" t="n">
        <f aca="false">U77*B77</f>
        <v>0</v>
      </c>
      <c r="AV77" s="193" t="n">
        <f aca="false">V77*B77</f>
        <v>0</v>
      </c>
      <c r="AW77" s="193" t="n">
        <f aca="false">W77*B77</f>
        <v>0</v>
      </c>
      <c r="AX77" s="193" t="n">
        <f aca="false">X77*B77</f>
        <v>0</v>
      </c>
      <c r="AY77" s="193" t="n">
        <f aca="false">SUM(AC77:AX77)</f>
        <v>0</v>
      </c>
      <c r="AZ77" s="192" t="n">
        <f aca="false">AB77*B77</f>
        <v>0</v>
      </c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</row>
    <row r="78" customFormat="false" ht="12.75" hidden="true" customHeight="true" outlineLevel="0" collapsed="false">
      <c r="A78" s="189"/>
      <c r="B78" s="185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8"/>
      <c r="N78" s="188"/>
      <c r="O78" s="188"/>
      <c r="P78" s="188"/>
      <c r="Q78" s="188"/>
      <c r="R78" s="188"/>
      <c r="S78" s="188"/>
      <c r="T78" s="188"/>
      <c r="U78" s="189"/>
      <c r="V78" s="189"/>
      <c r="W78" s="189"/>
      <c r="X78" s="189"/>
      <c r="Y78" s="189" t="n">
        <f aca="false">SUM(D78:X78)</f>
        <v>0</v>
      </c>
      <c r="Z78" s="190"/>
      <c r="AA78" s="191"/>
      <c r="AB78" s="192" t="n">
        <f aca="false">AA78+0.04</f>
        <v>0.04</v>
      </c>
      <c r="AC78" s="193" t="n">
        <f aca="false">C78*B78</f>
        <v>0</v>
      </c>
      <c r="AD78" s="193" t="n">
        <f aca="false">D78*B78</f>
        <v>0</v>
      </c>
      <c r="AE78" s="193" t="n">
        <f aca="false">E78*B78</f>
        <v>0</v>
      </c>
      <c r="AF78" s="193" t="n">
        <f aca="false">F78*B78</f>
        <v>0</v>
      </c>
      <c r="AG78" s="193" t="n">
        <f aca="false">G78*B78</f>
        <v>0</v>
      </c>
      <c r="AH78" s="193" t="n">
        <f aca="false">H78*B78</f>
        <v>0</v>
      </c>
      <c r="AI78" s="193" t="n">
        <f aca="false">I78*B78</f>
        <v>0</v>
      </c>
      <c r="AJ78" s="193" t="n">
        <f aca="false">J78*B78</f>
        <v>0</v>
      </c>
      <c r="AK78" s="193" t="n">
        <f aca="false">K78*B78</f>
        <v>0</v>
      </c>
      <c r="AL78" s="193" t="n">
        <f aca="false">L78*C78</f>
        <v>0</v>
      </c>
      <c r="AM78" s="193" t="n">
        <f aca="false">M78*B78</f>
        <v>0</v>
      </c>
      <c r="AN78" s="193" t="n">
        <f aca="false">N78*B78</f>
        <v>0</v>
      </c>
      <c r="AO78" s="193" t="n">
        <f aca="false">O78*B78</f>
        <v>0</v>
      </c>
      <c r="AP78" s="193" t="n">
        <f aca="false">P78*B78</f>
        <v>0</v>
      </c>
      <c r="AQ78" s="193" t="n">
        <f aca="false">Q78*B78</f>
        <v>0</v>
      </c>
      <c r="AR78" s="193" t="n">
        <f aca="false">R78*B78</f>
        <v>0</v>
      </c>
      <c r="AS78" s="193" t="n">
        <f aca="false">S78*B78</f>
        <v>0</v>
      </c>
      <c r="AT78" s="193" t="n">
        <f aca="false">T78*B78</f>
        <v>0</v>
      </c>
      <c r="AU78" s="193" t="n">
        <f aca="false">U78*B78</f>
        <v>0</v>
      </c>
      <c r="AV78" s="193" t="n">
        <f aca="false">V78*B78</f>
        <v>0</v>
      </c>
      <c r="AW78" s="193" t="n">
        <f aca="false">W78*B78</f>
        <v>0</v>
      </c>
      <c r="AX78" s="193" t="n">
        <f aca="false">X78*B78</f>
        <v>0</v>
      </c>
      <c r="AY78" s="193" t="n">
        <f aca="false">SUM(AC78:AX78)</f>
        <v>0</v>
      </c>
      <c r="AZ78" s="192" t="n">
        <f aca="false">AB78*B78</f>
        <v>0</v>
      </c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</row>
    <row r="79" customFormat="false" ht="12.75" hidden="true" customHeight="true" outlineLevel="0" collapsed="false">
      <c r="A79" s="200"/>
      <c r="B79" s="117"/>
      <c r="C79" s="201" t="n">
        <f aca="false">AC79</f>
        <v>0</v>
      </c>
      <c r="D79" s="201" t="n">
        <f aca="false">AD79</f>
        <v>0</v>
      </c>
      <c r="E79" s="201" t="n">
        <f aca="false">AE79</f>
        <v>0</v>
      </c>
      <c r="F79" s="201" t="n">
        <f aca="false">AF79</f>
        <v>207</v>
      </c>
      <c r="G79" s="201" t="n">
        <f aca="false">AG79</f>
        <v>253</v>
      </c>
      <c r="H79" s="201" t="n">
        <f aca="false">AH79</f>
        <v>0</v>
      </c>
      <c r="I79" s="201" t="n">
        <f aca="false">AI79</f>
        <v>0</v>
      </c>
      <c r="J79" s="201" t="n">
        <f aca="false">AJ79</f>
        <v>0</v>
      </c>
      <c r="K79" s="201" t="n">
        <f aca="false">AK79</f>
        <v>0</v>
      </c>
      <c r="L79" s="201" t="n">
        <f aca="false">AL79</f>
        <v>0</v>
      </c>
      <c r="M79" s="201" t="n">
        <f aca="false">AM79</f>
        <v>0</v>
      </c>
      <c r="N79" s="201" t="n">
        <f aca="false">AN79</f>
        <v>0</v>
      </c>
      <c r="O79" s="201" t="n">
        <f aca="false">AO79</f>
        <v>0</v>
      </c>
      <c r="P79" s="201" t="n">
        <f aca="false">AP79</f>
        <v>0</v>
      </c>
      <c r="Q79" s="201" t="n">
        <f aca="false">AQ79</f>
        <v>0</v>
      </c>
      <c r="R79" s="201" t="n">
        <f aca="false">AR79</f>
        <v>0</v>
      </c>
      <c r="S79" s="201" t="n">
        <f aca="false">AS79</f>
        <v>0</v>
      </c>
      <c r="T79" s="201" t="n">
        <f aca="false">AT79</f>
        <v>0</v>
      </c>
      <c r="U79" s="201" t="n">
        <f aca="false">U73*R73</f>
        <v>0</v>
      </c>
      <c r="V79" s="201" t="n">
        <f aca="false">V73*S73</f>
        <v>0</v>
      </c>
      <c r="W79" s="201" t="n">
        <f aca="false">W73*T73</f>
        <v>0</v>
      </c>
      <c r="X79" s="201" t="n">
        <f aca="false">X73*U73</f>
        <v>0</v>
      </c>
      <c r="Y79" s="117"/>
      <c r="Z79" s="190"/>
      <c r="AA79" s="203"/>
      <c r="AB79" s="202"/>
      <c r="AC79" s="201" t="n">
        <f aca="false">SUM(AC73:AC78)</f>
        <v>0</v>
      </c>
      <c r="AD79" s="201" t="n">
        <f aca="false">SUM(AD73:AD78)</f>
        <v>0</v>
      </c>
      <c r="AE79" s="201" t="n">
        <f aca="false">SUM(AE73:AE78)</f>
        <v>0</v>
      </c>
      <c r="AF79" s="201" t="n">
        <f aca="false">SUM(AF73:AF78)</f>
        <v>207</v>
      </c>
      <c r="AG79" s="201" t="n">
        <f aca="false">SUM(AG73:AG78)</f>
        <v>253</v>
      </c>
      <c r="AH79" s="201" t="n">
        <f aca="false">SUM(AH73:AH78)</f>
        <v>0</v>
      </c>
      <c r="AI79" s="201" t="n">
        <f aca="false">SUM(AI73:AI78)</f>
        <v>0</v>
      </c>
      <c r="AJ79" s="201" t="n">
        <f aca="false">SUM(AJ73:AJ78)</f>
        <v>0</v>
      </c>
      <c r="AK79" s="201" t="n">
        <f aca="false">SUM(AK73:AK78)</f>
        <v>0</v>
      </c>
      <c r="AL79" s="201" t="n">
        <f aca="false">SUM(AL73:AL78)</f>
        <v>0</v>
      </c>
      <c r="AM79" s="201" t="n">
        <f aca="false">SUM(AM73:AM78)</f>
        <v>0</v>
      </c>
      <c r="AN79" s="201" t="n">
        <f aca="false">SUM(AN73:AN78)</f>
        <v>0</v>
      </c>
      <c r="AO79" s="201" t="n">
        <f aca="false">SUM(AO73:AO78)</f>
        <v>0</v>
      </c>
      <c r="AP79" s="201" t="n">
        <f aca="false">SUM(AP73:AP78)</f>
        <v>0</v>
      </c>
      <c r="AQ79" s="201" t="n">
        <f aca="false">SUM(AQ73:AQ78)</f>
        <v>0</v>
      </c>
      <c r="AR79" s="201" t="n">
        <f aca="false">SUM(AR73:AR78)</f>
        <v>0</v>
      </c>
      <c r="AS79" s="201" t="n">
        <f aca="false">SUM(AS73:AS78)</f>
        <v>0</v>
      </c>
      <c r="AT79" s="201" t="n">
        <f aca="false">SUM(AT73:AT78)</f>
        <v>0</v>
      </c>
      <c r="AU79" s="201" t="n">
        <f aca="false">SUM(AU73:AU78)</f>
        <v>0</v>
      </c>
      <c r="AV79" s="201" t="n">
        <f aca="false">SUM(AV73:AV78)</f>
        <v>0</v>
      </c>
      <c r="AW79" s="201" t="n">
        <f aca="false">SUM(AW73:AW78)</f>
        <v>0</v>
      </c>
      <c r="AX79" s="201" t="n">
        <f aca="false">SUM(AX73:AX78)</f>
        <v>0</v>
      </c>
      <c r="AY79" s="193" t="n">
        <f aca="false">SUM(AC79:AX79)</f>
        <v>460</v>
      </c>
      <c r="AZ79" s="199" t="n">
        <f aca="false">SUM(AZ73:AZ78)</f>
        <v>13.34</v>
      </c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</row>
    <row r="80" customFormat="false" ht="12.75" hidden="true" customHeight="true" outlineLevel="0" collapsed="false">
      <c r="A80" s="200"/>
      <c r="B80" s="117"/>
      <c r="C80" s="201" t="n">
        <f aca="false">AC80</f>
        <v>0</v>
      </c>
      <c r="D80" s="201" t="n">
        <f aca="false">AD80</f>
        <v>0</v>
      </c>
      <c r="E80" s="201" t="n">
        <f aca="false">AE80</f>
        <v>0</v>
      </c>
      <c r="F80" s="201" t="n">
        <f aca="false">AF80</f>
        <v>7</v>
      </c>
      <c r="G80" s="201" t="n">
        <f aca="false">AG80</f>
        <v>3</v>
      </c>
      <c r="H80" s="201" t="n">
        <f aca="false">AH80</f>
        <v>0</v>
      </c>
      <c r="I80" s="201" t="n">
        <f aca="false">AI80</f>
        <v>0</v>
      </c>
      <c r="J80" s="201" t="n">
        <f aca="false">AJ80</f>
        <v>0</v>
      </c>
      <c r="K80" s="201" t="n">
        <f aca="false">AK80</f>
        <v>0</v>
      </c>
      <c r="L80" s="201" t="n">
        <f aca="false">AL80</f>
        <v>0</v>
      </c>
      <c r="M80" s="201" t="n">
        <f aca="false">AM80</f>
        <v>0</v>
      </c>
      <c r="N80" s="201" t="n">
        <f aca="false">AN80</f>
        <v>0</v>
      </c>
      <c r="O80" s="201" t="n">
        <f aca="false">AO80</f>
        <v>0</v>
      </c>
      <c r="P80" s="201" t="n">
        <f aca="false">AP80</f>
        <v>0</v>
      </c>
      <c r="Q80" s="201" t="n">
        <f aca="false">AQ80</f>
        <v>0</v>
      </c>
      <c r="R80" s="201" t="n">
        <f aca="false">AR80</f>
        <v>0</v>
      </c>
      <c r="S80" s="201" t="n">
        <f aca="false">AS80</f>
        <v>0</v>
      </c>
      <c r="T80" s="201" t="n">
        <f aca="false">AT80</f>
        <v>0</v>
      </c>
      <c r="U80" s="202" t="n">
        <f aca="false">U79-U72</f>
        <v>0</v>
      </c>
      <c r="V80" s="202" t="n">
        <f aca="false">V79-V72</f>
        <v>0</v>
      </c>
      <c r="W80" s="202" t="n">
        <f aca="false">W79-W72</f>
        <v>0</v>
      </c>
      <c r="X80" s="202" t="n">
        <f aca="false">X79-X72</f>
        <v>0</v>
      </c>
      <c r="Y80" s="117"/>
      <c r="Z80" s="202"/>
      <c r="AA80" s="202"/>
      <c r="AB80" s="202"/>
      <c r="AC80" s="201" t="n">
        <f aca="false">AC79-AC72</f>
        <v>0</v>
      </c>
      <c r="AD80" s="201" t="n">
        <f aca="false">AD79-AD72</f>
        <v>0</v>
      </c>
      <c r="AE80" s="201" t="n">
        <f aca="false">AE79-AE72</f>
        <v>0</v>
      </c>
      <c r="AF80" s="201" t="n">
        <f aca="false">AF79-AF72</f>
        <v>7</v>
      </c>
      <c r="AG80" s="201" t="n">
        <f aca="false">AG79-AG72</f>
        <v>3</v>
      </c>
      <c r="AH80" s="201" t="n">
        <f aca="false">AH79-AH72</f>
        <v>0</v>
      </c>
      <c r="AI80" s="201" t="n">
        <f aca="false">AI79-AI72</f>
        <v>0</v>
      </c>
      <c r="AJ80" s="201" t="n">
        <f aca="false">AJ79-AJ72</f>
        <v>0</v>
      </c>
      <c r="AK80" s="201" t="n">
        <f aca="false">AK79-AK72</f>
        <v>0</v>
      </c>
      <c r="AL80" s="201" t="n">
        <f aca="false">AL79-AL72</f>
        <v>0</v>
      </c>
      <c r="AM80" s="201" t="n">
        <f aca="false">AM79-AM72</f>
        <v>0</v>
      </c>
      <c r="AN80" s="201" t="n">
        <f aca="false">AN79-AN72</f>
        <v>0</v>
      </c>
      <c r="AO80" s="201" t="n">
        <f aca="false">AO79-AO72</f>
        <v>0</v>
      </c>
      <c r="AP80" s="201" t="n">
        <f aca="false">AP79-AP72</f>
        <v>0</v>
      </c>
      <c r="AQ80" s="201" t="n">
        <f aca="false">AQ79-AQ72</f>
        <v>0</v>
      </c>
      <c r="AR80" s="201" t="n">
        <f aca="false">AR79-AR72</f>
        <v>0</v>
      </c>
      <c r="AS80" s="201" t="n">
        <f aca="false">AS79-AS72</f>
        <v>0</v>
      </c>
      <c r="AT80" s="201" t="n">
        <f aca="false">AT79-AT72</f>
        <v>0</v>
      </c>
      <c r="AU80" s="201" t="n">
        <f aca="false">AU79-AU72</f>
        <v>0</v>
      </c>
      <c r="AV80" s="201" t="n">
        <f aca="false">AV79-AV72</f>
        <v>0</v>
      </c>
      <c r="AW80" s="201" t="n">
        <f aca="false">AW79-AW72</f>
        <v>0</v>
      </c>
      <c r="AX80" s="201" t="n">
        <f aca="false">AX79-AX72</f>
        <v>0</v>
      </c>
      <c r="AY80" s="201"/>
      <c r="AZ80" s="199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</row>
    <row r="81" customFormat="false" ht="12.75" hidden="true" customHeight="true" outlineLevel="0" collapsed="false">
      <c r="A81" s="204"/>
      <c r="B81" s="204"/>
      <c r="C81" s="204"/>
      <c r="D81" s="204"/>
      <c r="E81" s="204"/>
      <c r="F81" s="204"/>
      <c r="G81" s="204"/>
      <c r="H81" s="204"/>
      <c r="I81" s="204"/>
      <c r="J81" s="204" t="str">
        <f aca="false">AZ68</f>
        <v>met 3%</v>
      </c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4"/>
      <c r="Z81" s="206"/>
      <c r="AA81" s="206"/>
      <c r="AB81" s="206"/>
      <c r="AC81" s="206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7"/>
      <c r="BA81" s="208"/>
      <c r="BB81" s="208"/>
      <c r="BC81" s="208"/>
      <c r="BD81" s="208"/>
      <c r="BE81" s="208"/>
      <c r="BF81" s="208"/>
      <c r="BG81" s="208"/>
      <c r="BH81" s="208"/>
      <c r="BI81" s="208"/>
      <c r="BJ81" s="208"/>
      <c r="BK81" s="208"/>
      <c r="BL81" s="208"/>
      <c r="BM81" s="208"/>
      <c r="BN81" s="208"/>
      <c r="BO81" s="208"/>
    </row>
    <row r="82" customFormat="false" ht="12.75" hidden="true" customHeight="true" outlineLevel="0" collapsed="false">
      <c r="A82" s="204"/>
      <c r="B82" s="204"/>
      <c r="C82" s="204"/>
      <c r="D82" s="204"/>
      <c r="E82" s="204"/>
      <c r="F82" s="204"/>
      <c r="G82" s="204"/>
      <c r="H82" s="204"/>
      <c r="I82" s="204"/>
      <c r="J82" s="204" t="str">
        <f aca="false">AZ68</f>
        <v>met 3%</v>
      </c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4"/>
      <c r="Z82" s="211"/>
      <c r="AA82" s="205"/>
      <c r="AB82" s="206"/>
      <c r="AC82" s="206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12"/>
      <c r="AZ82" s="207"/>
      <c r="BA82" s="208"/>
      <c r="BB82" s="208"/>
      <c r="BC82" s="208"/>
      <c r="BD82" s="208"/>
      <c r="BE82" s="208"/>
      <c r="BF82" s="208"/>
      <c r="BG82" s="208"/>
      <c r="BH82" s="208"/>
      <c r="BI82" s="208"/>
      <c r="BJ82" s="208"/>
      <c r="BK82" s="208"/>
      <c r="BL82" s="208"/>
      <c r="BM82" s="208"/>
      <c r="BN82" s="208"/>
      <c r="BO82" s="208"/>
    </row>
    <row r="83" customFormat="false" ht="15" hidden="true" customHeight="false" outlineLevel="0" collapsed="false">
      <c r="A83" s="215"/>
      <c r="B83" s="216"/>
      <c r="C83" s="216"/>
      <c r="D83" s="216"/>
      <c r="E83" s="216"/>
      <c r="F83" s="216"/>
      <c r="G83" s="216"/>
      <c r="H83" s="217"/>
      <c r="I83" s="204"/>
      <c r="J83" s="204"/>
      <c r="K83" s="218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20"/>
      <c r="Z83" s="221" t="s">
        <v>79</v>
      </c>
      <c r="AA83" s="221"/>
      <c r="AB83" s="221"/>
      <c r="AC83" s="222"/>
      <c r="AD83" s="223"/>
      <c r="AE83" s="223"/>
      <c r="AF83" s="223"/>
      <c r="AG83" s="223"/>
      <c r="AH83" s="223"/>
      <c r="AI83" s="223"/>
      <c r="AJ83" s="223"/>
      <c r="AK83" s="223"/>
      <c r="AL83" s="223"/>
      <c r="AM83" s="223"/>
      <c r="AN83" s="223"/>
      <c r="AO83" s="223"/>
      <c r="AP83" s="223"/>
      <c r="AQ83" s="223"/>
      <c r="AR83" s="223"/>
      <c r="AS83" s="223"/>
      <c r="AT83" s="223"/>
      <c r="AU83" s="223"/>
      <c r="AV83" s="223"/>
      <c r="AW83" s="223"/>
      <c r="AX83" s="223"/>
      <c r="AY83" s="224" t="n">
        <f aca="false">AY68+Y81+Y82</f>
        <v>0.02987</v>
      </c>
      <c r="AZ83" s="225" t="n">
        <f aca="false">AZ67</f>
        <v>0</v>
      </c>
      <c r="BA83" s="208"/>
      <c r="BB83" s="208"/>
      <c r="BC83" s="208"/>
      <c r="BD83" s="208"/>
      <c r="BE83" s="208"/>
      <c r="BF83" s="208"/>
      <c r="BG83" s="208"/>
      <c r="BH83" s="208"/>
      <c r="BI83" s="208"/>
      <c r="BJ83" s="208"/>
      <c r="BK83" s="208"/>
      <c r="BL83" s="208"/>
      <c r="BM83" s="208"/>
      <c r="BN83" s="208"/>
      <c r="BO83" s="208"/>
    </row>
    <row r="84" customFormat="false" ht="15" hidden="true" customHeight="false" outlineLevel="0" collapsed="false"/>
    <row r="85" customFormat="false" ht="31.5" hidden="true" customHeight="true" outlineLevel="0" collapsed="false">
      <c r="A85" s="138" t="n">
        <v>5</v>
      </c>
      <c r="B85" s="139"/>
      <c r="C85" s="139"/>
      <c r="D85" s="139"/>
      <c r="E85" s="139"/>
      <c r="F85" s="139" t="s">
        <v>65</v>
      </c>
      <c r="G85" s="139"/>
      <c r="H85" s="140" t="n">
        <f aca="false">E1</f>
        <v>0</v>
      </c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1" t="s">
        <v>66</v>
      </c>
      <c r="AB85" s="142" t="e">
        <f aca="false">AZ96/AY96</f>
        <v>#DIV/0!</v>
      </c>
      <c r="AC85" s="142"/>
      <c r="AD85" s="143"/>
      <c r="AE85" s="143"/>
      <c r="AF85" s="143"/>
      <c r="AG85" s="144"/>
      <c r="AH85" s="143"/>
      <c r="AI85" s="143"/>
      <c r="AJ85" s="143"/>
      <c r="AK85" s="145"/>
      <c r="AL85" s="145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 t="e">
        <f aca="false">AB85*1.03</f>
        <v>#DIV/0!</v>
      </c>
      <c r="AZ85" s="144" t="s">
        <v>67</v>
      </c>
      <c r="BA85" s="146"/>
      <c r="BB85" s="146"/>
      <c r="BC85" s="146"/>
      <c r="BD85" s="146"/>
      <c r="BE85" s="146"/>
      <c r="BF85" s="146"/>
      <c r="BG85" s="146"/>
      <c r="BH85" s="146"/>
      <c r="BI85" s="146"/>
      <c r="BJ85" s="146"/>
      <c r="BK85" s="146"/>
      <c r="BL85" s="146"/>
      <c r="BM85" s="146"/>
      <c r="BN85" s="146"/>
      <c r="BO85" s="146"/>
    </row>
    <row r="86" customFormat="false" ht="31.5" hidden="true" customHeight="true" outlineLevel="0" collapsed="false">
      <c r="A86" s="138"/>
      <c r="B86" s="138" t="n">
        <f aca="false">A8</f>
        <v>0</v>
      </c>
      <c r="C86" s="138"/>
      <c r="D86" s="138"/>
      <c r="E86" s="138"/>
      <c r="F86" s="139"/>
      <c r="G86" s="139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1"/>
      <c r="AB86" s="143" t="e">
        <f aca="false">AB85/0.9144</f>
        <v>#DIV/0!</v>
      </c>
      <c r="AC86" s="143"/>
      <c r="AD86" s="155"/>
      <c r="AE86" s="155"/>
      <c r="AF86" s="155"/>
      <c r="AG86" s="142"/>
      <c r="AH86" s="155"/>
      <c r="AI86" s="155"/>
      <c r="AJ86" s="155"/>
      <c r="AK86" s="145"/>
      <c r="AL86" s="145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 t="e">
        <f aca="false">AY85/0.9144</f>
        <v>#DIV/0!</v>
      </c>
      <c r="AZ86" s="142" t="s">
        <v>68</v>
      </c>
      <c r="BA86" s="235"/>
      <c r="BB86" s="235"/>
      <c r="BC86" s="235"/>
      <c r="BD86" s="152"/>
      <c r="BE86" s="149"/>
      <c r="BF86" s="149"/>
      <c r="BG86" s="149"/>
      <c r="BH86" s="152"/>
      <c r="BI86" s="152"/>
      <c r="BJ86" s="152"/>
      <c r="BK86" s="152"/>
      <c r="BL86" s="152"/>
      <c r="BM86" s="152"/>
      <c r="BN86" s="152"/>
      <c r="BO86" s="152"/>
    </row>
    <row r="87" customFormat="false" ht="15" hidden="true" customHeight="true" outlineLevel="0" collapsed="false">
      <c r="A87" s="160" t="s">
        <v>69</v>
      </c>
      <c r="B87" s="161"/>
      <c r="C87" s="162" t="str">
        <f aca="false">C2</f>
        <v>DR01</v>
      </c>
      <c r="D87" s="162"/>
      <c r="E87" s="162"/>
      <c r="F87" s="162"/>
      <c r="G87" s="162"/>
      <c r="H87" s="162"/>
      <c r="I87" s="162"/>
      <c r="J87" s="162"/>
      <c r="K87" s="162"/>
      <c r="L87" s="162"/>
      <c r="M87" s="163" t="n">
        <f aca="false">M2</f>
        <v>0</v>
      </c>
      <c r="N87" s="163"/>
      <c r="O87" s="163"/>
      <c r="P87" s="163"/>
      <c r="Q87" s="163"/>
      <c r="R87" s="163"/>
      <c r="S87" s="163"/>
      <c r="T87" s="163"/>
      <c r="U87" s="164"/>
      <c r="V87" s="164"/>
      <c r="W87" s="164"/>
      <c r="X87" s="165"/>
      <c r="Y87" s="112" t="s">
        <v>70</v>
      </c>
      <c r="Z87" s="166" t="s">
        <v>71</v>
      </c>
      <c r="AA87" s="166" t="s">
        <v>72</v>
      </c>
      <c r="AB87" s="166" t="s">
        <v>72</v>
      </c>
      <c r="AC87" s="167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12" t="s">
        <v>73</v>
      </c>
      <c r="AZ87" s="166" t="s">
        <v>74</v>
      </c>
      <c r="BA87" s="146"/>
      <c r="BB87" s="146"/>
      <c r="BC87" s="146"/>
      <c r="BD87" s="146"/>
      <c r="BE87" s="146"/>
      <c r="BF87" s="146"/>
      <c r="BG87" s="146"/>
      <c r="BH87" s="146"/>
      <c r="BI87" s="146"/>
      <c r="BJ87" s="146"/>
      <c r="BK87" s="146"/>
      <c r="BL87" s="146"/>
      <c r="BM87" s="146"/>
      <c r="BN87" s="146"/>
      <c r="BO87" s="146"/>
    </row>
    <row r="88" customFormat="false" ht="15" hidden="true" customHeight="false" outlineLevel="0" collapsed="false">
      <c r="A88" s="160"/>
      <c r="B88" s="171" t="s">
        <v>12</v>
      </c>
      <c r="C88" s="172" t="n">
        <f aca="false">C3</f>
        <v>90</v>
      </c>
      <c r="D88" s="172" t="n">
        <f aca="false">D3</f>
        <v>100</v>
      </c>
      <c r="E88" s="172" t="n">
        <f aca="false">E3</f>
        <v>110</v>
      </c>
      <c r="F88" s="172" t="n">
        <f aca="false">F3</f>
        <v>120</v>
      </c>
      <c r="G88" s="172" t="n">
        <f aca="false">G3</f>
        <v>130</v>
      </c>
      <c r="H88" s="172" t="n">
        <f aca="false">H3</f>
        <v>140</v>
      </c>
      <c r="I88" s="172" t="n">
        <f aca="false">I3</f>
        <v>150</v>
      </c>
      <c r="J88" s="172" t="str">
        <f aca="false">J3</f>
        <v>4XL</v>
      </c>
      <c r="K88" s="172" t="str">
        <f aca="false">K3</f>
        <v>5XL</v>
      </c>
      <c r="L88" s="172" t="str">
        <f aca="false">L3</f>
        <v>7XL</v>
      </c>
      <c r="M88" s="178" t="str">
        <f aca="false">M3</f>
        <v>S</v>
      </c>
      <c r="N88" s="178" t="str">
        <f aca="false">N3</f>
        <v>M</v>
      </c>
      <c r="O88" s="178" t="str">
        <f aca="false">O3</f>
        <v>L</v>
      </c>
      <c r="P88" s="178" t="str">
        <f aca="false">P3</f>
        <v>XL</v>
      </c>
      <c r="Q88" s="178" t="str">
        <f aca="false">Q3</f>
        <v>2XL</v>
      </c>
      <c r="R88" s="178" t="str">
        <f aca="false">R3</f>
        <v>3XL</v>
      </c>
      <c r="S88" s="178" t="str">
        <f aca="false">S3</f>
        <v>4XL</v>
      </c>
      <c r="T88" s="178" t="str">
        <f aca="false">T3</f>
        <v>5XL</v>
      </c>
      <c r="U88" s="120" t="n">
        <f aca="false">U73</f>
        <v>0</v>
      </c>
      <c r="V88" s="120" t="n">
        <f aca="false">V73</f>
        <v>0</v>
      </c>
      <c r="W88" s="120" t="n">
        <f aca="false">W73</f>
        <v>0</v>
      </c>
      <c r="X88" s="120" t="n">
        <f aca="false">X73</f>
        <v>0</v>
      </c>
      <c r="Y88" s="173" t="s">
        <v>75</v>
      </c>
      <c r="Z88" s="174" t="s">
        <v>76</v>
      </c>
      <c r="AA88" s="174" t="s">
        <v>76</v>
      </c>
      <c r="AB88" s="174" t="s">
        <v>77</v>
      </c>
      <c r="AC88" s="175" t="n">
        <f aca="false">C88</f>
        <v>90</v>
      </c>
      <c r="AD88" s="175" t="n">
        <f aca="false">D88</f>
        <v>100</v>
      </c>
      <c r="AE88" s="175" t="n">
        <f aca="false">E88</f>
        <v>110</v>
      </c>
      <c r="AF88" s="175" t="n">
        <f aca="false">F88</f>
        <v>120</v>
      </c>
      <c r="AG88" s="175" t="n">
        <f aca="false">G88</f>
        <v>130</v>
      </c>
      <c r="AH88" s="175" t="n">
        <f aca="false">H88</f>
        <v>140</v>
      </c>
      <c r="AI88" s="175" t="n">
        <f aca="false">I88</f>
        <v>150</v>
      </c>
      <c r="AJ88" s="175" t="str">
        <f aca="false">J88</f>
        <v>4XL</v>
      </c>
      <c r="AK88" s="175" t="str">
        <f aca="false">K88</f>
        <v>5XL</v>
      </c>
      <c r="AL88" s="175" t="str">
        <f aca="false">L88</f>
        <v>7XL</v>
      </c>
      <c r="AM88" s="175" t="str">
        <f aca="false">M88</f>
        <v>S</v>
      </c>
      <c r="AN88" s="175" t="str">
        <f aca="false">N88</f>
        <v>M</v>
      </c>
      <c r="AO88" s="175" t="str">
        <f aca="false">O88</f>
        <v>L</v>
      </c>
      <c r="AP88" s="175" t="str">
        <f aca="false">P88</f>
        <v>XL</v>
      </c>
      <c r="AQ88" s="175" t="str">
        <f aca="false">Q88</f>
        <v>2XL</v>
      </c>
      <c r="AR88" s="175" t="str">
        <f aca="false">R88</f>
        <v>3XL</v>
      </c>
      <c r="AS88" s="175" t="str">
        <f aca="false">S88</f>
        <v>4XL</v>
      </c>
      <c r="AT88" s="175" t="str">
        <f aca="false">T88</f>
        <v>5XL</v>
      </c>
      <c r="AU88" s="175" t="n">
        <f aca="false">U88</f>
        <v>0</v>
      </c>
      <c r="AV88" s="175" t="n">
        <f aca="false">V88</f>
        <v>0</v>
      </c>
      <c r="AW88" s="175" t="n">
        <f aca="false">W88</f>
        <v>0</v>
      </c>
      <c r="AX88" s="175" t="n">
        <f aca="false">X88</f>
        <v>0</v>
      </c>
      <c r="AY88" s="232" t="n">
        <f aca="false">SUM(D89:T89)</f>
        <v>0</v>
      </c>
      <c r="AZ88" s="174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6"/>
      <c r="BM88" s="146"/>
      <c r="BN88" s="146"/>
      <c r="BO88" s="146"/>
    </row>
    <row r="89" customFormat="false" ht="19.5" hidden="true" customHeight="true" outlineLevel="0" collapsed="false">
      <c r="A89" s="160"/>
      <c r="B89" s="160" t="s">
        <v>78</v>
      </c>
      <c r="C89" s="177" t="n">
        <f aca="false">C8</f>
        <v>0</v>
      </c>
      <c r="D89" s="177" t="n">
        <f aca="false">D8</f>
        <v>0</v>
      </c>
      <c r="E89" s="177" t="n">
        <f aca="false">E8</f>
        <v>0</v>
      </c>
      <c r="F89" s="177" t="n">
        <f aca="false">F8</f>
        <v>0</v>
      </c>
      <c r="G89" s="177" t="n">
        <f aca="false">G8</f>
        <v>0</v>
      </c>
      <c r="H89" s="177" t="n">
        <f aca="false">H8</f>
        <v>0</v>
      </c>
      <c r="I89" s="177" t="n">
        <f aca="false">I8</f>
        <v>0</v>
      </c>
      <c r="J89" s="177" t="n">
        <f aca="false">J8</f>
        <v>0</v>
      </c>
      <c r="K89" s="177" t="n">
        <f aca="false">K8</f>
        <v>0</v>
      </c>
      <c r="L89" s="177" t="n">
        <f aca="false">L8</f>
        <v>0</v>
      </c>
      <c r="M89" s="239" t="n">
        <f aca="false">M8</f>
        <v>0</v>
      </c>
      <c r="N89" s="239" t="n">
        <f aca="false">N8</f>
        <v>0</v>
      </c>
      <c r="O89" s="239" t="n">
        <f aca="false">O8</f>
        <v>0</v>
      </c>
      <c r="P89" s="239" t="n">
        <f aca="false">P8</f>
        <v>0</v>
      </c>
      <c r="Q89" s="239" t="n">
        <f aca="false">Q8</f>
        <v>0</v>
      </c>
      <c r="R89" s="239" t="n">
        <f aca="false">R8</f>
        <v>0</v>
      </c>
      <c r="S89" s="239" t="n">
        <f aca="false">S8</f>
        <v>0</v>
      </c>
      <c r="T89" s="239" t="n">
        <f aca="false">T8</f>
        <v>0</v>
      </c>
      <c r="U89" s="177" t="n">
        <f aca="false">U57</f>
        <v>0</v>
      </c>
      <c r="V89" s="177" t="n">
        <f aca="false">V57</f>
        <v>0</v>
      </c>
      <c r="W89" s="177" t="n">
        <f aca="false">W57</f>
        <v>0</v>
      </c>
      <c r="X89" s="177" t="n">
        <f aca="false">X57</f>
        <v>0</v>
      </c>
      <c r="Y89" s="173"/>
      <c r="Z89" s="174"/>
      <c r="AA89" s="174"/>
      <c r="AB89" s="174"/>
      <c r="AC89" s="180" t="n">
        <f aca="false">C89</f>
        <v>0</v>
      </c>
      <c r="AD89" s="180" t="n">
        <f aca="false">D89</f>
        <v>0</v>
      </c>
      <c r="AE89" s="180" t="n">
        <f aca="false">E89</f>
        <v>0</v>
      </c>
      <c r="AF89" s="180" t="n">
        <f aca="false">F89</f>
        <v>0</v>
      </c>
      <c r="AG89" s="180" t="n">
        <f aca="false">G89</f>
        <v>0</v>
      </c>
      <c r="AH89" s="180" t="n">
        <f aca="false">H89</f>
        <v>0</v>
      </c>
      <c r="AI89" s="180" t="n">
        <f aca="false">I89</f>
        <v>0</v>
      </c>
      <c r="AJ89" s="180" t="n">
        <f aca="false">J89</f>
        <v>0</v>
      </c>
      <c r="AK89" s="180" t="n">
        <f aca="false">K89</f>
        <v>0</v>
      </c>
      <c r="AL89" s="180" t="n">
        <f aca="false">L89</f>
        <v>0</v>
      </c>
      <c r="AM89" s="181" t="n">
        <f aca="false">M89</f>
        <v>0</v>
      </c>
      <c r="AN89" s="181" t="n">
        <f aca="false">N89</f>
        <v>0</v>
      </c>
      <c r="AO89" s="181" t="n">
        <f aca="false">O89</f>
        <v>0</v>
      </c>
      <c r="AP89" s="181" t="n">
        <f aca="false">P89</f>
        <v>0</v>
      </c>
      <c r="AQ89" s="181" t="n">
        <f aca="false">Q89</f>
        <v>0</v>
      </c>
      <c r="AR89" s="181" t="n">
        <f aca="false">R89</f>
        <v>0</v>
      </c>
      <c r="AS89" s="181" t="n">
        <f aca="false">S89</f>
        <v>0</v>
      </c>
      <c r="AT89" s="181" t="n">
        <f aca="false">T89</f>
        <v>0</v>
      </c>
      <c r="AU89" s="180" t="n">
        <f aca="false">U89</f>
        <v>0</v>
      </c>
      <c r="AV89" s="180" t="n">
        <f aca="false">V89</f>
        <v>0</v>
      </c>
      <c r="AW89" s="180" t="n">
        <f aca="false">W89</f>
        <v>0</v>
      </c>
      <c r="AX89" s="180" t="n">
        <f aca="false">X89</f>
        <v>0</v>
      </c>
      <c r="AY89" s="232"/>
      <c r="AZ89" s="174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  <c r="BM89" s="146"/>
      <c r="BN89" s="146"/>
      <c r="BO89" s="146"/>
    </row>
    <row r="90" customFormat="false" ht="12.75" hidden="true" customHeight="true" outlineLevel="0" collapsed="false">
      <c r="A90" s="189"/>
      <c r="B90" s="185"/>
      <c r="C90" s="186"/>
      <c r="D90" s="186"/>
      <c r="E90" s="186"/>
      <c r="F90" s="186"/>
      <c r="G90" s="186"/>
      <c r="H90" s="186"/>
      <c r="I90" s="187"/>
      <c r="J90" s="187"/>
      <c r="K90" s="187"/>
      <c r="L90" s="187"/>
      <c r="M90" s="188"/>
      <c r="N90" s="188"/>
      <c r="O90" s="188"/>
      <c r="P90" s="188"/>
      <c r="Q90" s="188"/>
      <c r="R90" s="188"/>
      <c r="S90" s="188"/>
      <c r="T90" s="188"/>
      <c r="U90" s="189"/>
      <c r="V90" s="189"/>
      <c r="W90" s="189"/>
      <c r="X90" s="189"/>
      <c r="Y90" s="189" t="n">
        <f aca="false">SUM(D90:X90)</f>
        <v>0</v>
      </c>
      <c r="Z90" s="190" t="n">
        <v>178</v>
      </c>
      <c r="AA90" s="191"/>
      <c r="AB90" s="192" t="n">
        <f aca="false">AA90+0.04</f>
        <v>0.04</v>
      </c>
      <c r="AC90" s="193" t="n">
        <f aca="false">C90*B90</f>
        <v>0</v>
      </c>
      <c r="AD90" s="193" t="n">
        <f aca="false">D90*B90</f>
        <v>0</v>
      </c>
      <c r="AE90" s="193" t="n">
        <f aca="false">E90*B90</f>
        <v>0</v>
      </c>
      <c r="AF90" s="193" t="n">
        <f aca="false">F90*B90</f>
        <v>0</v>
      </c>
      <c r="AG90" s="193" t="n">
        <f aca="false">G90*B90</f>
        <v>0</v>
      </c>
      <c r="AH90" s="193" t="n">
        <f aca="false">H90*B90</f>
        <v>0</v>
      </c>
      <c r="AI90" s="193" t="n">
        <f aca="false">I90*B90</f>
        <v>0</v>
      </c>
      <c r="AJ90" s="193" t="n">
        <f aca="false">J90*B90</f>
        <v>0</v>
      </c>
      <c r="AK90" s="193" t="n">
        <f aca="false">K90*B90</f>
        <v>0</v>
      </c>
      <c r="AL90" s="193" t="n">
        <f aca="false">L90*C90</f>
        <v>0</v>
      </c>
      <c r="AM90" s="193" t="n">
        <f aca="false">M90*B90</f>
        <v>0</v>
      </c>
      <c r="AN90" s="193" t="n">
        <f aca="false">N90*B90</f>
        <v>0</v>
      </c>
      <c r="AO90" s="193" t="n">
        <f aca="false">O90*B90</f>
        <v>0</v>
      </c>
      <c r="AP90" s="193" t="n">
        <f aca="false">P90*B90</f>
        <v>0</v>
      </c>
      <c r="AQ90" s="193" t="n">
        <f aca="false">Q90*B90</f>
        <v>0</v>
      </c>
      <c r="AR90" s="193" t="n">
        <f aca="false">R90*B90</f>
        <v>0</v>
      </c>
      <c r="AS90" s="193" t="n">
        <f aca="false">S90*B90</f>
        <v>0</v>
      </c>
      <c r="AT90" s="193" t="n">
        <f aca="false">T90*B90</f>
        <v>0</v>
      </c>
      <c r="AU90" s="193" t="n">
        <f aca="false">U90*B90</f>
        <v>0</v>
      </c>
      <c r="AV90" s="193" t="n">
        <f aca="false">V90*B90</f>
        <v>0</v>
      </c>
      <c r="AW90" s="193" t="n">
        <f aca="false">W90*B90</f>
        <v>0</v>
      </c>
      <c r="AX90" s="193" t="n">
        <f aca="false">X90*B90</f>
        <v>0</v>
      </c>
      <c r="AY90" s="193" t="n">
        <f aca="false">SUM(AC90:AX90)</f>
        <v>0</v>
      </c>
      <c r="AZ90" s="192" t="n">
        <f aca="false">AB90*B90</f>
        <v>0</v>
      </c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</row>
    <row r="91" customFormat="false" ht="12.75" hidden="true" customHeight="true" outlineLevel="0" collapsed="false">
      <c r="A91" s="189"/>
      <c r="B91" s="185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8"/>
      <c r="N91" s="188"/>
      <c r="O91" s="188"/>
      <c r="P91" s="188"/>
      <c r="Q91" s="188"/>
      <c r="R91" s="188"/>
      <c r="S91" s="188"/>
      <c r="T91" s="188"/>
      <c r="U91" s="189"/>
      <c r="V91" s="189"/>
      <c r="W91" s="189"/>
      <c r="X91" s="189"/>
      <c r="Y91" s="189" t="n">
        <f aca="false">SUM(D91:X91)</f>
        <v>0</v>
      </c>
      <c r="Z91" s="190" t="n">
        <v>180</v>
      </c>
      <c r="AA91" s="191"/>
      <c r="AB91" s="192" t="n">
        <f aca="false">AA91+0.04</f>
        <v>0.04</v>
      </c>
      <c r="AC91" s="193" t="n">
        <f aca="false">C91*B91</f>
        <v>0</v>
      </c>
      <c r="AD91" s="193" t="n">
        <f aca="false">D91*B91</f>
        <v>0</v>
      </c>
      <c r="AE91" s="193" t="n">
        <f aca="false">E91*B91</f>
        <v>0</v>
      </c>
      <c r="AF91" s="193" t="n">
        <f aca="false">F91*B91</f>
        <v>0</v>
      </c>
      <c r="AG91" s="193" t="n">
        <f aca="false">G91*B91</f>
        <v>0</v>
      </c>
      <c r="AH91" s="193" t="n">
        <f aca="false">H91*B91</f>
        <v>0</v>
      </c>
      <c r="AI91" s="193" t="n">
        <f aca="false">I91*B91</f>
        <v>0</v>
      </c>
      <c r="AJ91" s="193" t="n">
        <f aca="false">J91*B91</f>
        <v>0</v>
      </c>
      <c r="AK91" s="193" t="n">
        <f aca="false">K91*B91</f>
        <v>0</v>
      </c>
      <c r="AL91" s="193" t="n">
        <f aca="false">L91*C91</f>
        <v>0</v>
      </c>
      <c r="AM91" s="193" t="n">
        <f aca="false">M91*B91</f>
        <v>0</v>
      </c>
      <c r="AN91" s="193" t="n">
        <f aca="false">N91*B91</f>
        <v>0</v>
      </c>
      <c r="AO91" s="193" t="n">
        <f aca="false">O91*B91</f>
        <v>0</v>
      </c>
      <c r="AP91" s="193" t="n">
        <f aca="false">P91*B91</f>
        <v>0</v>
      </c>
      <c r="AQ91" s="193" t="n">
        <f aca="false">Q91*B91</f>
        <v>0</v>
      </c>
      <c r="AR91" s="193" t="n">
        <f aca="false">R91*B91</f>
        <v>0</v>
      </c>
      <c r="AS91" s="193" t="n">
        <f aca="false">S91*B91</f>
        <v>0</v>
      </c>
      <c r="AT91" s="193" t="n">
        <f aca="false">T91*B91</f>
        <v>0</v>
      </c>
      <c r="AU91" s="193" t="n">
        <f aca="false">U91*B91</f>
        <v>0</v>
      </c>
      <c r="AV91" s="193" t="n">
        <f aca="false">V91*B91</f>
        <v>0</v>
      </c>
      <c r="AW91" s="193" t="n">
        <f aca="false">W91*B91</f>
        <v>0</v>
      </c>
      <c r="AX91" s="193" t="n">
        <f aca="false">X91*B91</f>
        <v>0</v>
      </c>
      <c r="AY91" s="193" t="n">
        <f aca="false">SUM(AC91:AX91)</f>
        <v>0</v>
      </c>
      <c r="AZ91" s="192" t="n">
        <f aca="false">AB91*B91</f>
        <v>0</v>
      </c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</row>
    <row r="92" customFormat="false" ht="12.75" hidden="true" customHeight="true" outlineLevel="0" collapsed="false">
      <c r="A92" s="189"/>
      <c r="B92" s="185"/>
      <c r="C92" s="186"/>
      <c r="D92" s="186"/>
      <c r="E92" s="186"/>
      <c r="F92" s="186"/>
      <c r="G92" s="186"/>
      <c r="H92" s="186"/>
      <c r="I92" s="187"/>
      <c r="J92" s="187"/>
      <c r="K92" s="187"/>
      <c r="L92" s="187"/>
      <c r="M92" s="188"/>
      <c r="N92" s="188"/>
      <c r="O92" s="188"/>
      <c r="P92" s="188"/>
      <c r="Q92" s="188"/>
      <c r="R92" s="188"/>
      <c r="S92" s="188"/>
      <c r="T92" s="188"/>
      <c r="U92" s="189"/>
      <c r="V92" s="189"/>
      <c r="W92" s="189"/>
      <c r="X92" s="189"/>
      <c r="Y92" s="189" t="n">
        <f aca="false">SUM(D92:X92)</f>
        <v>0</v>
      </c>
      <c r="Z92" s="190" t="n">
        <v>180</v>
      </c>
      <c r="AA92" s="191"/>
      <c r="AB92" s="192" t="n">
        <f aca="false">AA92+0.04</f>
        <v>0.04</v>
      </c>
      <c r="AC92" s="193" t="n">
        <f aca="false">C92*B92</f>
        <v>0</v>
      </c>
      <c r="AD92" s="193" t="n">
        <f aca="false">D92*B92</f>
        <v>0</v>
      </c>
      <c r="AE92" s="193" t="n">
        <f aca="false">E92*B92</f>
        <v>0</v>
      </c>
      <c r="AF92" s="193" t="n">
        <f aca="false">F92*B92</f>
        <v>0</v>
      </c>
      <c r="AG92" s="193" t="n">
        <f aca="false">G92*B92</f>
        <v>0</v>
      </c>
      <c r="AH92" s="193" t="n">
        <f aca="false">H92*B92</f>
        <v>0</v>
      </c>
      <c r="AI92" s="193" t="n">
        <f aca="false">I92*B92</f>
        <v>0</v>
      </c>
      <c r="AJ92" s="193" t="n">
        <f aca="false">J92*B92</f>
        <v>0</v>
      </c>
      <c r="AK92" s="193" t="n">
        <f aca="false">K92*B92</f>
        <v>0</v>
      </c>
      <c r="AL92" s="193" t="n">
        <f aca="false">L92*C92</f>
        <v>0</v>
      </c>
      <c r="AM92" s="193" t="n">
        <f aca="false">M92*B92</f>
        <v>0</v>
      </c>
      <c r="AN92" s="193" t="n">
        <f aca="false">N92*B92</f>
        <v>0</v>
      </c>
      <c r="AO92" s="193" t="n">
        <f aca="false">O92*B92</f>
        <v>0</v>
      </c>
      <c r="AP92" s="193" t="n">
        <f aca="false">P92*B92</f>
        <v>0</v>
      </c>
      <c r="AQ92" s="193" t="n">
        <f aca="false">Q92*B92</f>
        <v>0</v>
      </c>
      <c r="AR92" s="193" t="n">
        <f aca="false">R92*B92</f>
        <v>0</v>
      </c>
      <c r="AS92" s="193" t="n">
        <f aca="false">S92*B92</f>
        <v>0</v>
      </c>
      <c r="AT92" s="193" t="n">
        <f aca="false">T92*B92</f>
        <v>0</v>
      </c>
      <c r="AU92" s="193" t="n">
        <f aca="false">U92*B92</f>
        <v>0</v>
      </c>
      <c r="AV92" s="193" t="n">
        <f aca="false">V92*B92</f>
        <v>0</v>
      </c>
      <c r="AW92" s="193" t="n">
        <f aca="false">W92*B92</f>
        <v>0</v>
      </c>
      <c r="AX92" s="193" t="n">
        <f aca="false">X92*B92</f>
        <v>0</v>
      </c>
      <c r="AY92" s="193" t="n">
        <f aca="false">SUM(AC92:AX92)</f>
        <v>0</v>
      </c>
      <c r="AZ92" s="192" t="n">
        <f aca="false">AB92*B92</f>
        <v>0</v>
      </c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</row>
    <row r="93" customFormat="false" ht="39" hidden="true" customHeight="true" outlineLevel="0" collapsed="false">
      <c r="A93" s="240"/>
      <c r="B93" s="185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8"/>
      <c r="N93" s="188"/>
      <c r="O93" s="188"/>
      <c r="P93" s="188"/>
      <c r="Q93" s="188"/>
      <c r="R93" s="188"/>
      <c r="S93" s="188"/>
      <c r="T93" s="188"/>
      <c r="U93" s="189"/>
      <c r="V93" s="189"/>
      <c r="W93" s="189"/>
      <c r="X93" s="189"/>
      <c r="Y93" s="189" t="n">
        <f aca="false">SUM(D93:X93)</f>
        <v>0</v>
      </c>
      <c r="Z93" s="190" t="n">
        <v>180</v>
      </c>
      <c r="AA93" s="191"/>
      <c r="AB93" s="192" t="n">
        <f aca="false">AA93+0.04</f>
        <v>0.04</v>
      </c>
      <c r="AC93" s="193" t="n">
        <f aca="false">C93*B93</f>
        <v>0</v>
      </c>
      <c r="AD93" s="193" t="n">
        <f aca="false">D93*B93</f>
        <v>0</v>
      </c>
      <c r="AE93" s="193" t="n">
        <f aca="false">E93*B93</f>
        <v>0</v>
      </c>
      <c r="AF93" s="193" t="n">
        <f aca="false">F93*B93</f>
        <v>0</v>
      </c>
      <c r="AG93" s="193" t="n">
        <f aca="false">G93*B93</f>
        <v>0</v>
      </c>
      <c r="AH93" s="193" t="n">
        <f aca="false">H93*B93</f>
        <v>0</v>
      </c>
      <c r="AI93" s="193" t="n">
        <f aca="false">I93*B93</f>
        <v>0</v>
      </c>
      <c r="AJ93" s="193" t="n">
        <f aca="false">J93*B93</f>
        <v>0</v>
      </c>
      <c r="AK93" s="193" t="n">
        <f aca="false">K93*B93</f>
        <v>0</v>
      </c>
      <c r="AL93" s="193" t="n">
        <f aca="false">L93*C93</f>
        <v>0</v>
      </c>
      <c r="AM93" s="193" t="n">
        <f aca="false">M93*B93</f>
        <v>0</v>
      </c>
      <c r="AN93" s="193" t="n">
        <f aca="false">N93*B93</f>
        <v>0</v>
      </c>
      <c r="AO93" s="193" t="n">
        <f aca="false">O93*B93</f>
        <v>0</v>
      </c>
      <c r="AP93" s="193" t="n">
        <f aca="false">P93*B93</f>
        <v>0</v>
      </c>
      <c r="AQ93" s="193" t="n">
        <f aca="false">Q93*B93</f>
        <v>0</v>
      </c>
      <c r="AR93" s="193" t="n">
        <f aca="false">R93*B93</f>
        <v>0</v>
      </c>
      <c r="AS93" s="193" t="n">
        <f aca="false">S93*B93</f>
        <v>0</v>
      </c>
      <c r="AT93" s="193" t="n">
        <f aca="false">T93*B93</f>
        <v>0</v>
      </c>
      <c r="AU93" s="193" t="n">
        <f aca="false">U93*B93</f>
        <v>0</v>
      </c>
      <c r="AV93" s="193" t="n">
        <f aca="false">V93*B93</f>
        <v>0</v>
      </c>
      <c r="AW93" s="193" t="n">
        <f aca="false">W93*B93</f>
        <v>0</v>
      </c>
      <c r="AX93" s="193" t="n">
        <f aca="false">X93*B93</f>
        <v>0</v>
      </c>
      <c r="AY93" s="193" t="n">
        <f aca="false">SUM(AC93:AX93)</f>
        <v>0</v>
      </c>
      <c r="AZ93" s="192" t="n">
        <f aca="false">AB93*B93</f>
        <v>0</v>
      </c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</row>
    <row r="94" customFormat="false" ht="12.75" hidden="true" customHeight="true" outlineLevel="0" collapsed="false">
      <c r="A94" s="189"/>
      <c r="B94" s="185"/>
      <c r="C94" s="186"/>
      <c r="D94" s="186"/>
      <c r="E94" s="186"/>
      <c r="F94" s="186"/>
      <c r="G94" s="186"/>
      <c r="H94" s="186"/>
      <c r="I94" s="187"/>
      <c r="J94" s="187"/>
      <c r="K94" s="187"/>
      <c r="L94" s="187"/>
      <c r="M94" s="188"/>
      <c r="N94" s="188"/>
      <c r="O94" s="188"/>
      <c r="P94" s="188"/>
      <c r="Q94" s="188"/>
      <c r="R94" s="188"/>
      <c r="S94" s="188"/>
      <c r="T94" s="188"/>
      <c r="U94" s="189"/>
      <c r="V94" s="189"/>
      <c r="W94" s="189"/>
      <c r="X94" s="189"/>
      <c r="Y94" s="189" t="n">
        <f aca="false">SUM(D94:X94)</f>
        <v>0</v>
      </c>
      <c r="Z94" s="190" t="n">
        <v>180</v>
      </c>
      <c r="AA94" s="191"/>
      <c r="AB94" s="192" t="n">
        <f aca="false">AA94+0.04</f>
        <v>0.04</v>
      </c>
      <c r="AC94" s="193" t="n">
        <f aca="false">C94*B94</f>
        <v>0</v>
      </c>
      <c r="AD94" s="193" t="n">
        <f aca="false">D94*B94</f>
        <v>0</v>
      </c>
      <c r="AE94" s="193" t="n">
        <f aca="false">E94*B94</f>
        <v>0</v>
      </c>
      <c r="AF94" s="193" t="n">
        <f aca="false">F94*B94</f>
        <v>0</v>
      </c>
      <c r="AG94" s="193" t="n">
        <f aca="false">G94*B94</f>
        <v>0</v>
      </c>
      <c r="AH94" s="193" t="n">
        <f aca="false">H94*B94</f>
        <v>0</v>
      </c>
      <c r="AI94" s="193" t="n">
        <f aca="false">I94*B94</f>
        <v>0</v>
      </c>
      <c r="AJ94" s="193" t="n">
        <f aca="false">J94*B94</f>
        <v>0</v>
      </c>
      <c r="AK94" s="193" t="n">
        <f aca="false">K94*B94</f>
        <v>0</v>
      </c>
      <c r="AL94" s="193" t="n">
        <f aca="false">L94*C94</f>
        <v>0</v>
      </c>
      <c r="AM94" s="193" t="n">
        <f aca="false">M94*B94</f>
        <v>0</v>
      </c>
      <c r="AN94" s="193" t="n">
        <f aca="false">N94*B94</f>
        <v>0</v>
      </c>
      <c r="AO94" s="193" t="n">
        <f aca="false">O94*B94</f>
        <v>0</v>
      </c>
      <c r="AP94" s="193" t="n">
        <f aca="false">P94*B94</f>
        <v>0</v>
      </c>
      <c r="AQ94" s="193" t="n">
        <f aca="false">Q94*B94</f>
        <v>0</v>
      </c>
      <c r="AR94" s="193" t="n">
        <f aca="false">R94*B94</f>
        <v>0</v>
      </c>
      <c r="AS94" s="193" t="n">
        <f aca="false">S94*B94</f>
        <v>0</v>
      </c>
      <c r="AT94" s="193" t="n">
        <f aca="false">T94*B94</f>
        <v>0</v>
      </c>
      <c r="AU94" s="193" t="n">
        <f aca="false">U94*B94</f>
        <v>0</v>
      </c>
      <c r="AV94" s="193" t="n">
        <f aca="false">V94*B94</f>
        <v>0</v>
      </c>
      <c r="AW94" s="193" t="n">
        <f aca="false">W94*B94</f>
        <v>0</v>
      </c>
      <c r="AX94" s="193" t="n">
        <f aca="false">X94*B94</f>
        <v>0</v>
      </c>
      <c r="AY94" s="193" t="n">
        <f aca="false">SUM(AC94:AX94)</f>
        <v>0</v>
      </c>
      <c r="AZ94" s="192" t="n">
        <f aca="false">AB94*B94</f>
        <v>0</v>
      </c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</row>
    <row r="95" customFormat="false" ht="12.75" hidden="true" customHeight="true" outlineLevel="0" collapsed="false">
      <c r="A95" s="189"/>
      <c r="B95" s="185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8"/>
      <c r="N95" s="188"/>
      <c r="O95" s="188"/>
      <c r="P95" s="188"/>
      <c r="Q95" s="188"/>
      <c r="R95" s="188"/>
      <c r="S95" s="188"/>
      <c r="T95" s="188"/>
      <c r="U95" s="189"/>
      <c r="V95" s="189"/>
      <c r="W95" s="189"/>
      <c r="X95" s="189"/>
      <c r="Y95" s="189" t="n">
        <f aca="false">SUM(D95:X95)</f>
        <v>0</v>
      </c>
      <c r="Z95" s="190" t="n">
        <v>180</v>
      </c>
      <c r="AA95" s="191"/>
      <c r="AB95" s="192" t="n">
        <f aca="false">AA95+0.04</f>
        <v>0.04</v>
      </c>
      <c r="AC95" s="193" t="n">
        <f aca="false">C95*B95</f>
        <v>0</v>
      </c>
      <c r="AD95" s="193" t="n">
        <f aca="false">D95*B95</f>
        <v>0</v>
      </c>
      <c r="AE95" s="193" t="n">
        <f aca="false">E95*B95</f>
        <v>0</v>
      </c>
      <c r="AF95" s="193" t="n">
        <f aca="false">F95*B95</f>
        <v>0</v>
      </c>
      <c r="AG95" s="193" t="n">
        <f aca="false">G95*B95</f>
        <v>0</v>
      </c>
      <c r="AH95" s="193" t="n">
        <f aca="false">H95*B95</f>
        <v>0</v>
      </c>
      <c r="AI95" s="193" t="n">
        <f aca="false">I95*B95</f>
        <v>0</v>
      </c>
      <c r="AJ95" s="193" t="n">
        <f aca="false">J95*B95</f>
        <v>0</v>
      </c>
      <c r="AK95" s="193" t="n">
        <f aca="false">K95*B95</f>
        <v>0</v>
      </c>
      <c r="AL95" s="193" t="n">
        <f aca="false">L95*C95</f>
        <v>0</v>
      </c>
      <c r="AM95" s="193" t="n">
        <f aca="false">M95*B95</f>
        <v>0</v>
      </c>
      <c r="AN95" s="193" t="n">
        <f aca="false">N95*B95</f>
        <v>0</v>
      </c>
      <c r="AO95" s="193" t="n">
        <f aca="false">O95*B95</f>
        <v>0</v>
      </c>
      <c r="AP95" s="193" t="n">
        <f aca="false">P95*B95</f>
        <v>0</v>
      </c>
      <c r="AQ95" s="193" t="n">
        <f aca="false">Q95*B95</f>
        <v>0</v>
      </c>
      <c r="AR95" s="193" t="n">
        <f aca="false">R95*B95</f>
        <v>0</v>
      </c>
      <c r="AS95" s="193" t="n">
        <f aca="false">S95*B95</f>
        <v>0</v>
      </c>
      <c r="AT95" s="193" t="n">
        <f aca="false">T95*B95</f>
        <v>0</v>
      </c>
      <c r="AU95" s="193" t="n">
        <f aca="false">U95*B95</f>
        <v>0</v>
      </c>
      <c r="AV95" s="193" t="n">
        <f aca="false">V95*B95</f>
        <v>0</v>
      </c>
      <c r="AW95" s="193" t="n">
        <f aca="false">W95*B95</f>
        <v>0</v>
      </c>
      <c r="AX95" s="193" t="n">
        <f aca="false">X95*B95</f>
        <v>0</v>
      </c>
      <c r="AY95" s="193" t="n">
        <f aca="false">SUM(AC95:AX95)</f>
        <v>0</v>
      </c>
      <c r="AZ95" s="192" t="n">
        <f aca="false">AB95*B95</f>
        <v>0</v>
      </c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</row>
    <row r="96" customFormat="false" ht="12.75" hidden="true" customHeight="true" outlineLevel="0" collapsed="false">
      <c r="A96" s="200"/>
      <c r="B96" s="117"/>
      <c r="C96" s="201" t="n">
        <f aca="false">AC96</f>
        <v>0</v>
      </c>
      <c r="D96" s="201" t="n">
        <f aca="false">AD96</f>
        <v>0</v>
      </c>
      <c r="E96" s="201" t="n">
        <f aca="false">AE96</f>
        <v>0</v>
      </c>
      <c r="F96" s="201" t="n">
        <f aca="false">AF96</f>
        <v>0</v>
      </c>
      <c r="G96" s="201" t="n">
        <f aca="false">AG96</f>
        <v>0</v>
      </c>
      <c r="H96" s="201" t="n">
        <f aca="false">AH96</f>
        <v>0</v>
      </c>
      <c r="I96" s="201" t="n">
        <f aca="false">AI96</f>
        <v>0</v>
      </c>
      <c r="J96" s="201" t="n">
        <f aca="false">AJ96</f>
        <v>0</v>
      </c>
      <c r="K96" s="201" t="n">
        <f aca="false">AK96</f>
        <v>0</v>
      </c>
      <c r="L96" s="201" t="n">
        <f aca="false">AL96</f>
        <v>0</v>
      </c>
      <c r="M96" s="201" t="n">
        <f aca="false">AM96</f>
        <v>0</v>
      </c>
      <c r="N96" s="201" t="n">
        <f aca="false">AN96</f>
        <v>0</v>
      </c>
      <c r="O96" s="201" t="n">
        <f aca="false">AO96</f>
        <v>0</v>
      </c>
      <c r="P96" s="201" t="n">
        <f aca="false">AP96</f>
        <v>0</v>
      </c>
      <c r="Q96" s="201" t="n">
        <f aca="false">AQ96</f>
        <v>0</v>
      </c>
      <c r="R96" s="201" t="n">
        <f aca="false">AR96</f>
        <v>0</v>
      </c>
      <c r="S96" s="201" t="n">
        <f aca="false">AS96</f>
        <v>0</v>
      </c>
      <c r="T96" s="201" t="n">
        <f aca="false">AT96</f>
        <v>0</v>
      </c>
      <c r="U96" s="201" t="n">
        <f aca="false">U90*R90</f>
        <v>0</v>
      </c>
      <c r="V96" s="201" t="n">
        <f aca="false">V90*S90</f>
        <v>0</v>
      </c>
      <c r="W96" s="201" t="n">
        <f aca="false">W90*T90</f>
        <v>0</v>
      </c>
      <c r="X96" s="201" t="n">
        <f aca="false">X90*U90</f>
        <v>0</v>
      </c>
      <c r="Y96" s="117"/>
      <c r="Z96" s="202"/>
      <c r="AA96" s="203"/>
      <c r="AB96" s="202"/>
      <c r="AC96" s="201" t="n">
        <f aca="false">SUM(AC90:AC95)</f>
        <v>0</v>
      </c>
      <c r="AD96" s="201" t="n">
        <f aca="false">SUM(AD90:AD95)</f>
        <v>0</v>
      </c>
      <c r="AE96" s="201" t="n">
        <f aca="false">SUM(AE90:AE95)</f>
        <v>0</v>
      </c>
      <c r="AF96" s="201" t="n">
        <f aca="false">SUM(AF90:AF95)</f>
        <v>0</v>
      </c>
      <c r="AG96" s="201" t="n">
        <f aca="false">SUM(AG90:AG95)</f>
        <v>0</v>
      </c>
      <c r="AH96" s="201" t="n">
        <f aca="false">SUM(AH90:AH95)</f>
        <v>0</v>
      </c>
      <c r="AI96" s="201" t="n">
        <f aca="false">SUM(AI90:AI95)</f>
        <v>0</v>
      </c>
      <c r="AJ96" s="201" t="n">
        <f aca="false">SUM(AJ90:AJ95)</f>
        <v>0</v>
      </c>
      <c r="AK96" s="201" t="n">
        <f aca="false">SUM(AK90:AK95)</f>
        <v>0</v>
      </c>
      <c r="AL96" s="201" t="n">
        <f aca="false">SUM(AL90:AL95)</f>
        <v>0</v>
      </c>
      <c r="AM96" s="201" t="n">
        <f aca="false">SUM(AM90:AM95)</f>
        <v>0</v>
      </c>
      <c r="AN96" s="201" t="n">
        <f aca="false">SUM(AN90:AN95)</f>
        <v>0</v>
      </c>
      <c r="AO96" s="201" t="n">
        <f aca="false">SUM(AO90:AO95)</f>
        <v>0</v>
      </c>
      <c r="AP96" s="201" t="n">
        <f aca="false">SUM(AP90:AP95)</f>
        <v>0</v>
      </c>
      <c r="AQ96" s="201" t="n">
        <f aca="false">SUM(AQ90:AQ95)</f>
        <v>0</v>
      </c>
      <c r="AR96" s="201" t="n">
        <f aca="false">SUM(AR90:AR95)</f>
        <v>0</v>
      </c>
      <c r="AS96" s="201" t="n">
        <f aca="false">SUM(AS90:AS95)</f>
        <v>0</v>
      </c>
      <c r="AT96" s="201" t="n">
        <f aca="false">SUM(AT90:AT95)</f>
        <v>0</v>
      </c>
      <c r="AU96" s="201" t="n">
        <f aca="false">SUM(AU90:AU95)</f>
        <v>0</v>
      </c>
      <c r="AV96" s="201" t="n">
        <f aca="false">SUM(AV90:AV95)</f>
        <v>0</v>
      </c>
      <c r="AW96" s="201" t="n">
        <f aca="false">SUM(AW90:AW95)</f>
        <v>0</v>
      </c>
      <c r="AX96" s="201" t="n">
        <f aca="false">SUM(AX90:AX95)</f>
        <v>0</v>
      </c>
      <c r="AY96" s="193" t="n">
        <f aca="false">SUM(AC96:AX96)</f>
        <v>0</v>
      </c>
      <c r="AZ96" s="199" t="n">
        <f aca="false">SUM(AZ89:AZ95)</f>
        <v>0</v>
      </c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</row>
    <row r="97" customFormat="false" ht="12.75" hidden="true" customHeight="true" outlineLevel="0" collapsed="false">
      <c r="A97" s="200"/>
      <c r="B97" s="117"/>
      <c r="C97" s="201" t="n">
        <f aca="false">AC97</f>
        <v>0</v>
      </c>
      <c r="D97" s="201" t="n">
        <f aca="false">AD97</f>
        <v>0</v>
      </c>
      <c r="E97" s="201" t="n">
        <f aca="false">AE97</f>
        <v>0</v>
      </c>
      <c r="F97" s="201" t="n">
        <f aca="false">AF97</f>
        <v>0</v>
      </c>
      <c r="G97" s="201" t="n">
        <f aca="false">AG97</f>
        <v>0</v>
      </c>
      <c r="H97" s="201" t="n">
        <f aca="false">AH97</f>
        <v>0</v>
      </c>
      <c r="I97" s="201" t="n">
        <f aca="false">AI97</f>
        <v>0</v>
      </c>
      <c r="J97" s="201" t="n">
        <f aca="false">AJ97</f>
        <v>0</v>
      </c>
      <c r="K97" s="201" t="n">
        <f aca="false">AK97</f>
        <v>0</v>
      </c>
      <c r="L97" s="201" t="n">
        <f aca="false">AL97</f>
        <v>0</v>
      </c>
      <c r="M97" s="201" t="n">
        <f aca="false">AM97</f>
        <v>0</v>
      </c>
      <c r="N97" s="201" t="n">
        <f aca="false">AN97</f>
        <v>0</v>
      </c>
      <c r="O97" s="201" t="n">
        <f aca="false">AO97</f>
        <v>0</v>
      </c>
      <c r="P97" s="201" t="n">
        <f aca="false">AP97</f>
        <v>0</v>
      </c>
      <c r="Q97" s="201" t="n">
        <f aca="false">AQ97</f>
        <v>0</v>
      </c>
      <c r="R97" s="201" t="n">
        <f aca="false">AR97</f>
        <v>0</v>
      </c>
      <c r="S97" s="201" t="n">
        <f aca="false">AS97</f>
        <v>0</v>
      </c>
      <c r="T97" s="201" t="n">
        <f aca="false">AT97</f>
        <v>0</v>
      </c>
      <c r="U97" s="202" t="n">
        <f aca="false">U96-U89</f>
        <v>0</v>
      </c>
      <c r="V97" s="202" t="n">
        <f aca="false">V96-V89</f>
        <v>0</v>
      </c>
      <c r="W97" s="202" t="n">
        <f aca="false">W96-W89</f>
        <v>0</v>
      </c>
      <c r="X97" s="202" t="n">
        <f aca="false">X96-X89</f>
        <v>0</v>
      </c>
      <c r="Y97" s="117"/>
      <c r="Z97" s="202"/>
      <c r="AA97" s="202"/>
      <c r="AB97" s="202"/>
      <c r="AC97" s="201" t="n">
        <f aca="false">AC96-AC89</f>
        <v>0</v>
      </c>
      <c r="AD97" s="201" t="n">
        <f aca="false">AD96-AD89</f>
        <v>0</v>
      </c>
      <c r="AE97" s="201" t="n">
        <f aca="false">AE96-AE89</f>
        <v>0</v>
      </c>
      <c r="AF97" s="201" t="n">
        <f aca="false">AF96-AF89</f>
        <v>0</v>
      </c>
      <c r="AG97" s="201" t="n">
        <f aca="false">AG96-AG89</f>
        <v>0</v>
      </c>
      <c r="AH97" s="201" t="n">
        <f aca="false">AH96-AH89</f>
        <v>0</v>
      </c>
      <c r="AI97" s="201" t="n">
        <f aca="false">AI96-AI89</f>
        <v>0</v>
      </c>
      <c r="AJ97" s="201" t="n">
        <f aca="false">AJ96-AJ89</f>
        <v>0</v>
      </c>
      <c r="AK97" s="201" t="n">
        <f aca="false">AK96-AK89</f>
        <v>0</v>
      </c>
      <c r="AL97" s="201" t="n">
        <f aca="false">AL96-AL89</f>
        <v>0</v>
      </c>
      <c r="AM97" s="201" t="n">
        <f aca="false">AM96-AM89</f>
        <v>0</v>
      </c>
      <c r="AN97" s="201" t="n">
        <f aca="false">AN96-AN89</f>
        <v>0</v>
      </c>
      <c r="AO97" s="201" t="n">
        <f aca="false">AO96-AO89</f>
        <v>0</v>
      </c>
      <c r="AP97" s="201" t="n">
        <f aca="false">AP96-AP89</f>
        <v>0</v>
      </c>
      <c r="AQ97" s="201" t="n">
        <f aca="false">AQ96-AQ89</f>
        <v>0</v>
      </c>
      <c r="AR97" s="201" t="n">
        <f aca="false">AR96-AR89</f>
        <v>0</v>
      </c>
      <c r="AS97" s="201" t="n">
        <f aca="false">AS96-AS89</f>
        <v>0</v>
      </c>
      <c r="AT97" s="201" t="n">
        <f aca="false">AT96-AT89</f>
        <v>0</v>
      </c>
      <c r="AU97" s="201" t="n">
        <f aca="false">AU96-AU88</f>
        <v>0</v>
      </c>
      <c r="AV97" s="201" t="n">
        <f aca="false">AV96-AV88</f>
        <v>0</v>
      </c>
      <c r="AW97" s="201" t="n">
        <f aca="false">AW96-AW88</f>
        <v>0</v>
      </c>
      <c r="AX97" s="201" t="n">
        <f aca="false">AX96-AX88</f>
        <v>0</v>
      </c>
      <c r="AY97" s="201"/>
      <c r="AZ97" s="199"/>
      <c r="BA97" s="194"/>
      <c r="BB97" s="194"/>
      <c r="BC97" s="194"/>
      <c r="BD97" s="194"/>
      <c r="BE97" s="194"/>
      <c r="BF97" s="194"/>
      <c r="BG97" s="194"/>
      <c r="BH97" s="194"/>
      <c r="BI97" s="194"/>
      <c r="BJ97" s="194"/>
      <c r="BK97" s="194"/>
      <c r="BL97" s="194"/>
      <c r="BM97" s="194"/>
      <c r="BN97" s="194"/>
      <c r="BO97" s="194"/>
    </row>
    <row r="98" customFormat="false" ht="12.75" hidden="true" customHeight="true" outlineLevel="0" collapsed="false">
      <c r="A98" s="204"/>
      <c r="B98" s="204"/>
      <c r="C98" s="204"/>
      <c r="D98" s="204"/>
      <c r="E98" s="204"/>
      <c r="F98" s="204"/>
      <c r="G98" s="204"/>
      <c r="H98" s="204"/>
      <c r="I98" s="204"/>
      <c r="J98" s="204" t="str">
        <f aca="false">AZ85</f>
        <v>met 3%</v>
      </c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4"/>
      <c r="Z98" s="206"/>
      <c r="AA98" s="206"/>
      <c r="AB98" s="206"/>
      <c r="AC98" s="206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7"/>
      <c r="BA98" s="208"/>
      <c r="BB98" s="208"/>
      <c r="BC98" s="208"/>
      <c r="BD98" s="208"/>
      <c r="BE98" s="208"/>
      <c r="BF98" s="208"/>
      <c r="BG98" s="208"/>
      <c r="BH98" s="208"/>
      <c r="BI98" s="208"/>
      <c r="BJ98" s="208"/>
      <c r="BK98" s="208"/>
      <c r="BL98" s="208"/>
      <c r="BM98" s="208"/>
      <c r="BN98" s="208"/>
      <c r="BO98" s="208"/>
    </row>
    <row r="99" customFormat="false" ht="12.75" hidden="true" customHeight="true" outlineLevel="0" collapsed="false">
      <c r="A99" s="204"/>
      <c r="B99" s="204"/>
      <c r="C99" s="204"/>
      <c r="D99" s="204"/>
      <c r="E99" s="204"/>
      <c r="F99" s="204"/>
      <c r="G99" s="204"/>
      <c r="H99" s="204"/>
      <c r="I99" s="204"/>
      <c r="J99" s="204" t="str">
        <f aca="false">AZ85</f>
        <v>met 3%</v>
      </c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4"/>
      <c r="Z99" s="211"/>
      <c r="AA99" s="205"/>
      <c r="AB99" s="206"/>
      <c r="AC99" s="206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12"/>
      <c r="AZ99" s="207"/>
      <c r="BA99" s="208"/>
      <c r="BB99" s="208"/>
      <c r="BC99" s="208"/>
      <c r="BD99" s="208"/>
      <c r="BE99" s="208"/>
      <c r="BF99" s="208"/>
      <c r="BG99" s="208"/>
      <c r="BH99" s="208"/>
      <c r="BI99" s="208"/>
      <c r="BJ99" s="208"/>
      <c r="BK99" s="208"/>
      <c r="BL99" s="208"/>
      <c r="BM99" s="208"/>
      <c r="BN99" s="208"/>
      <c r="BO99" s="208"/>
    </row>
    <row r="100" customFormat="false" ht="15" hidden="true" customHeight="false" outlineLevel="0" collapsed="false">
      <c r="A100" s="215"/>
      <c r="B100" s="216"/>
      <c r="C100" s="216"/>
      <c r="D100" s="216"/>
      <c r="E100" s="216"/>
      <c r="F100" s="216"/>
      <c r="G100" s="216"/>
      <c r="H100" s="217"/>
      <c r="I100" s="204"/>
      <c r="J100" s="204"/>
      <c r="K100" s="218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20"/>
      <c r="Z100" s="221" t="s">
        <v>79</v>
      </c>
      <c r="AA100" s="221"/>
      <c r="AB100" s="221"/>
      <c r="AC100" s="222"/>
      <c r="AD100" s="223"/>
      <c r="AE100" s="223"/>
      <c r="AF100" s="223"/>
      <c r="AG100" s="223"/>
      <c r="AH100" s="223"/>
      <c r="AI100" s="223"/>
      <c r="AJ100" s="223"/>
      <c r="AK100" s="223"/>
      <c r="AL100" s="223"/>
      <c r="AM100" s="223"/>
      <c r="AN100" s="223"/>
      <c r="AO100" s="223"/>
      <c r="AP100" s="223"/>
      <c r="AQ100" s="223"/>
      <c r="AR100" s="223"/>
      <c r="AS100" s="223"/>
      <c r="AT100" s="223"/>
      <c r="AU100" s="223"/>
      <c r="AV100" s="223"/>
      <c r="AW100" s="223"/>
      <c r="AX100" s="223"/>
      <c r="AY100" s="224" t="e">
        <f aca="false">AY85+Y98+Y99</f>
        <v>#DIV/0!</v>
      </c>
      <c r="AZ100" s="225" t="n">
        <f aca="false">AZ84</f>
        <v>0</v>
      </c>
      <c r="BA100" s="208"/>
      <c r="BB100" s="208"/>
      <c r="BC100" s="208"/>
      <c r="BD100" s="208"/>
      <c r="BE100" s="208"/>
      <c r="BF100" s="208"/>
      <c r="BG100" s="208"/>
      <c r="BH100" s="208"/>
      <c r="BI100" s="208"/>
      <c r="BJ100" s="208"/>
      <c r="BK100" s="208"/>
      <c r="BL100" s="208"/>
      <c r="BM100" s="208"/>
      <c r="BN100" s="208"/>
      <c r="BO100" s="208"/>
    </row>
    <row r="101" customFormat="false" ht="15" hidden="true" customHeight="false" outlineLevel="0" collapsed="false"/>
    <row r="102" customFormat="false" ht="31.5" hidden="true" customHeight="true" outlineLevel="0" collapsed="false">
      <c r="A102" s="138" t="n">
        <v>4</v>
      </c>
      <c r="B102" s="241" t="s">
        <v>85</v>
      </c>
      <c r="C102" s="241"/>
      <c r="D102" s="241"/>
      <c r="E102" s="241"/>
      <c r="F102" s="139" t="s">
        <v>65</v>
      </c>
      <c r="G102" s="139"/>
      <c r="H102" s="140" t="n">
        <f aca="false">E1</f>
        <v>0</v>
      </c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1" t="s">
        <v>66</v>
      </c>
      <c r="AB102" s="142" t="e">
        <f aca="false">AZ113/AY113</f>
        <v>#DIV/0!</v>
      </c>
      <c r="AC102" s="142"/>
      <c r="AD102" s="143"/>
      <c r="AE102" s="143"/>
      <c r="AF102" s="143"/>
      <c r="AG102" s="144"/>
      <c r="AH102" s="143"/>
      <c r="AI102" s="143"/>
      <c r="AJ102" s="143"/>
      <c r="AK102" s="145"/>
      <c r="AL102" s="145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 t="e">
        <f aca="false">AB102*1.03</f>
        <v>#DIV/0!</v>
      </c>
      <c r="AZ102" s="144" t="s">
        <v>67</v>
      </c>
      <c r="BA102" s="146"/>
      <c r="BB102" s="146"/>
      <c r="BC102" s="146"/>
      <c r="BD102" s="146"/>
      <c r="BE102" s="146"/>
      <c r="BF102" s="146"/>
      <c r="BG102" s="146"/>
      <c r="BH102" s="146"/>
      <c r="BI102" s="146"/>
      <c r="BJ102" s="146"/>
      <c r="BK102" s="146"/>
      <c r="BL102" s="146"/>
      <c r="BM102" s="146"/>
      <c r="BN102" s="146"/>
      <c r="BO102" s="146"/>
    </row>
    <row r="103" customFormat="false" ht="31.5" hidden="true" customHeight="true" outlineLevel="0" collapsed="false">
      <c r="A103" s="138"/>
      <c r="B103" s="138"/>
      <c r="C103" s="138"/>
      <c r="D103" s="138"/>
      <c r="E103" s="138"/>
      <c r="F103" s="139"/>
      <c r="G103" s="139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1"/>
      <c r="AB103" s="143" t="e">
        <f aca="false">AB102/0.9144</f>
        <v>#DIV/0!</v>
      </c>
      <c r="AC103" s="143"/>
      <c r="AD103" s="155"/>
      <c r="AE103" s="155"/>
      <c r="AF103" s="155"/>
      <c r="AG103" s="142"/>
      <c r="AH103" s="155"/>
      <c r="AI103" s="155"/>
      <c r="AJ103" s="155"/>
      <c r="AK103" s="145"/>
      <c r="AL103" s="145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 t="e">
        <f aca="false">AY102/0.9144</f>
        <v>#DIV/0!</v>
      </c>
      <c r="AZ103" s="142" t="s">
        <v>68</v>
      </c>
      <c r="BA103" s="235"/>
      <c r="BB103" s="235"/>
      <c r="BC103" s="235"/>
      <c r="BD103" s="229"/>
      <c r="BE103" s="229"/>
      <c r="BF103" s="229"/>
      <c r="BG103" s="169"/>
      <c r="BH103" s="152"/>
      <c r="BI103" s="152"/>
      <c r="BJ103" s="152"/>
      <c r="BK103" s="152"/>
      <c r="BL103" s="152"/>
      <c r="BM103" s="152"/>
      <c r="BN103" s="152"/>
      <c r="BO103" s="152"/>
    </row>
    <row r="104" customFormat="false" ht="15" hidden="true" customHeight="true" outlineLevel="0" collapsed="false">
      <c r="A104" s="160" t="s">
        <v>69</v>
      </c>
      <c r="B104" s="161"/>
      <c r="C104" s="162" t="str">
        <f aca="false">C2</f>
        <v>DR01</v>
      </c>
      <c r="D104" s="162"/>
      <c r="E104" s="162"/>
      <c r="F104" s="162"/>
      <c r="G104" s="162"/>
      <c r="H104" s="162"/>
      <c r="I104" s="162"/>
      <c r="J104" s="162"/>
      <c r="K104" s="162"/>
      <c r="L104" s="162"/>
      <c r="M104" s="163" t="n">
        <f aca="false">M2</f>
        <v>0</v>
      </c>
      <c r="N104" s="163"/>
      <c r="O104" s="163"/>
      <c r="P104" s="163"/>
      <c r="Q104" s="163"/>
      <c r="R104" s="163"/>
      <c r="S104" s="163"/>
      <c r="T104" s="163"/>
      <c r="U104" s="164"/>
      <c r="V104" s="164"/>
      <c r="W104" s="164"/>
      <c r="X104" s="165"/>
      <c r="Y104" s="112" t="s">
        <v>70</v>
      </c>
      <c r="Z104" s="166" t="s">
        <v>71</v>
      </c>
      <c r="AA104" s="166" t="s">
        <v>72</v>
      </c>
      <c r="AB104" s="166" t="s">
        <v>72</v>
      </c>
      <c r="AC104" s="167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12" t="s">
        <v>73</v>
      </c>
      <c r="AZ104" s="166" t="s">
        <v>74</v>
      </c>
      <c r="BA104" s="146"/>
      <c r="BB104" s="146"/>
      <c r="BC104" s="146"/>
      <c r="BD104" s="146"/>
      <c r="BE104" s="146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</row>
    <row r="105" customFormat="false" ht="15" hidden="true" customHeight="false" outlineLevel="0" collapsed="false">
      <c r="A105" s="160"/>
      <c r="B105" s="171" t="s">
        <v>12</v>
      </c>
      <c r="C105" s="172" t="n">
        <f aca="false">C3</f>
        <v>90</v>
      </c>
      <c r="D105" s="172" t="n">
        <f aca="false">D3</f>
        <v>100</v>
      </c>
      <c r="E105" s="172" t="n">
        <f aca="false">E3</f>
        <v>110</v>
      </c>
      <c r="F105" s="172" t="n">
        <f aca="false">F3</f>
        <v>120</v>
      </c>
      <c r="G105" s="172" t="n">
        <f aca="false">G3</f>
        <v>130</v>
      </c>
      <c r="H105" s="172" t="n">
        <f aca="false">H3</f>
        <v>140</v>
      </c>
      <c r="I105" s="172" t="n">
        <f aca="false">I3</f>
        <v>150</v>
      </c>
      <c r="J105" s="172" t="str">
        <f aca="false">J3</f>
        <v>4XL</v>
      </c>
      <c r="K105" s="172" t="str">
        <f aca="false">K3</f>
        <v>5XL</v>
      </c>
      <c r="L105" s="172" t="str">
        <f aca="false">L3</f>
        <v>7XL</v>
      </c>
      <c r="M105" s="239" t="str">
        <f aca="false">M3</f>
        <v>S</v>
      </c>
      <c r="N105" s="239" t="str">
        <f aca="false">N3</f>
        <v>M</v>
      </c>
      <c r="O105" s="239" t="str">
        <f aca="false">O3</f>
        <v>L</v>
      </c>
      <c r="P105" s="239" t="str">
        <f aca="false">P3</f>
        <v>XL</v>
      </c>
      <c r="Q105" s="239" t="str">
        <f aca="false">Q3</f>
        <v>2XL</v>
      </c>
      <c r="R105" s="239" t="str">
        <f aca="false">R3</f>
        <v>3XL</v>
      </c>
      <c r="S105" s="239" t="str">
        <f aca="false">S3</f>
        <v>4XL</v>
      </c>
      <c r="T105" s="239" t="str">
        <f aca="false">T3</f>
        <v>5XL</v>
      </c>
      <c r="U105" s="120" t="n">
        <f aca="false">U90</f>
        <v>0</v>
      </c>
      <c r="V105" s="120" t="n">
        <f aca="false">V90</f>
        <v>0</v>
      </c>
      <c r="W105" s="120" t="n">
        <f aca="false">W90</f>
        <v>0</v>
      </c>
      <c r="X105" s="120" t="n">
        <f aca="false">X90</f>
        <v>0</v>
      </c>
      <c r="Y105" s="173" t="s">
        <v>75</v>
      </c>
      <c r="Z105" s="174" t="s">
        <v>76</v>
      </c>
      <c r="AA105" s="174" t="s">
        <v>76</v>
      </c>
      <c r="AB105" s="174" t="s">
        <v>77</v>
      </c>
      <c r="AC105" s="175" t="n">
        <f aca="false">C105</f>
        <v>90</v>
      </c>
      <c r="AD105" s="175" t="n">
        <f aca="false">D105</f>
        <v>100</v>
      </c>
      <c r="AE105" s="175" t="n">
        <f aca="false">E105</f>
        <v>110</v>
      </c>
      <c r="AF105" s="175" t="n">
        <f aca="false">F105</f>
        <v>120</v>
      </c>
      <c r="AG105" s="175" t="n">
        <f aca="false">G105</f>
        <v>130</v>
      </c>
      <c r="AH105" s="175" t="n">
        <f aca="false">H105</f>
        <v>140</v>
      </c>
      <c r="AI105" s="175" t="n">
        <f aca="false">I105</f>
        <v>150</v>
      </c>
      <c r="AJ105" s="175" t="str">
        <f aca="false">J105</f>
        <v>4XL</v>
      </c>
      <c r="AK105" s="175" t="str">
        <f aca="false">K105</f>
        <v>5XL</v>
      </c>
      <c r="AL105" s="175" t="str">
        <f aca="false">L105</f>
        <v>7XL</v>
      </c>
      <c r="AM105" s="175" t="str">
        <f aca="false">M105</f>
        <v>S</v>
      </c>
      <c r="AN105" s="175" t="str">
        <f aca="false">N105</f>
        <v>M</v>
      </c>
      <c r="AO105" s="175" t="str">
        <f aca="false">O105</f>
        <v>L</v>
      </c>
      <c r="AP105" s="175" t="str">
        <f aca="false">P105</f>
        <v>XL</v>
      </c>
      <c r="AQ105" s="175" t="str">
        <f aca="false">Q105</f>
        <v>2XL</v>
      </c>
      <c r="AR105" s="175" t="str">
        <f aca="false">R105</f>
        <v>3XL</v>
      </c>
      <c r="AS105" s="175" t="str">
        <f aca="false">S105</f>
        <v>4XL</v>
      </c>
      <c r="AT105" s="175" t="str">
        <f aca="false">T105</f>
        <v>5XL</v>
      </c>
      <c r="AU105" s="175" t="n">
        <f aca="false">U105</f>
        <v>0</v>
      </c>
      <c r="AV105" s="175" t="n">
        <f aca="false">V105</f>
        <v>0</v>
      </c>
      <c r="AW105" s="175" t="n">
        <f aca="false">W105</f>
        <v>0</v>
      </c>
      <c r="AX105" s="175" t="n">
        <f aca="false">X105</f>
        <v>0</v>
      </c>
      <c r="AY105" s="232" t="n">
        <f aca="false">SUM(C106:T106)</f>
        <v>0</v>
      </c>
      <c r="AZ105" s="174"/>
      <c r="BA105" s="146"/>
      <c r="BB105" s="146"/>
      <c r="BC105" s="146"/>
      <c r="BD105" s="146"/>
      <c r="BE105" s="146"/>
      <c r="BF105" s="146"/>
      <c r="BG105" s="146"/>
      <c r="BH105" s="146"/>
      <c r="BI105" s="146"/>
      <c r="BJ105" s="146"/>
      <c r="BK105" s="146"/>
      <c r="BL105" s="146"/>
      <c r="BM105" s="146"/>
      <c r="BN105" s="146"/>
      <c r="BO105" s="146"/>
    </row>
    <row r="106" customFormat="false" ht="19.5" hidden="true" customHeight="true" outlineLevel="0" collapsed="false">
      <c r="A106" s="160"/>
      <c r="B106" s="160" t="s">
        <v>78</v>
      </c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39"/>
      <c r="N106" s="243"/>
      <c r="O106" s="243"/>
      <c r="P106" s="243"/>
      <c r="Q106" s="243" t="n">
        <f aca="false">Q45</f>
        <v>0</v>
      </c>
      <c r="R106" s="239"/>
      <c r="S106" s="239"/>
      <c r="T106" s="239"/>
      <c r="U106" s="189" t="n">
        <f aca="false">U74</f>
        <v>0</v>
      </c>
      <c r="V106" s="189" t="n">
        <f aca="false">V74</f>
        <v>0</v>
      </c>
      <c r="W106" s="189" t="n">
        <f aca="false">W74</f>
        <v>0</v>
      </c>
      <c r="X106" s="189" t="n">
        <f aca="false">X74</f>
        <v>0</v>
      </c>
      <c r="Y106" s="173"/>
      <c r="Z106" s="174"/>
      <c r="AA106" s="174"/>
      <c r="AB106" s="174"/>
      <c r="AC106" s="180" t="n">
        <f aca="false">C106</f>
        <v>0</v>
      </c>
      <c r="AD106" s="180" t="n">
        <f aca="false">D106</f>
        <v>0</v>
      </c>
      <c r="AE106" s="180" t="n">
        <f aca="false">E106</f>
        <v>0</v>
      </c>
      <c r="AF106" s="180" t="n">
        <f aca="false">F106</f>
        <v>0</v>
      </c>
      <c r="AG106" s="180" t="n">
        <f aca="false">G106</f>
        <v>0</v>
      </c>
      <c r="AH106" s="180" t="n">
        <f aca="false">H106</f>
        <v>0</v>
      </c>
      <c r="AI106" s="180" t="n">
        <f aca="false">I106</f>
        <v>0</v>
      </c>
      <c r="AJ106" s="180" t="n">
        <f aca="false">J106</f>
        <v>0</v>
      </c>
      <c r="AK106" s="180" t="n">
        <f aca="false">K106</f>
        <v>0</v>
      </c>
      <c r="AL106" s="180" t="n">
        <f aca="false">L106</f>
        <v>0</v>
      </c>
      <c r="AM106" s="181" t="n">
        <f aca="false">M106</f>
        <v>0</v>
      </c>
      <c r="AN106" s="180" t="n">
        <f aca="false">N106</f>
        <v>0</v>
      </c>
      <c r="AO106" s="180" t="n">
        <f aca="false">O106</f>
        <v>0</v>
      </c>
      <c r="AP106" s="180" t="n">
        <f aca="false">P106</f>
        <v>0</v>
      </c>
      <c r="AQ106" s="180" t="n">
        <f aca="false">Q106</f>
        <v>0</v>
      </c>
      <c r="AR106" s="181" t="n">
        <f aca="false">R106</f>
        <v>0</v>
      </c>
      <c r="AS106" s="181" t="n">
        <f aca="false">S106</f>
        <v>0</v>
      </c>
      <c r="AT106" s="181" t="n">
        <f aca="false">T106</f>
        <v>0</v>
      </c>
      <c r="AU106" s="181" t="n">
        <f aca="false">U106</f>
        <v>0</v>
      </c>
      <c r="AV106" s="181" t="n">
        <f aca="false">V106</f>
        <v>0</v>
      </c>
      <c r="AW106" s="181" t="n">
        <f aca="false">W106</f>
        <v>0</v>
      </c>
      <c r="AX106" s="181" t="n">
        <f aca="false">X106</f>
        <v>0</v>
      </c>
      <c r="AY106" s="232"/>
      <c r="AZ106" s="174"/>
      <c r="BA106" s="146"/>
      <c r="BB106" s="146"/>
      <c r="BC106" s="146"/>
      <c r="BD106" s="146"/>
      <c r="BE106" s="146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</row>
    <row r="107" customFormat="false" ht="12.75" hidden="true" customHeight="true" outlineLevel="0" collapsed="false">
      <c r="A107" s="189"/>
      <c r="B107" s="185"/>
      <c r="C107" s="186"/>
      <c r="D107" s="186"/>
      <c r="E107" s="186"/>
      <c r="F107" s="186"/>
      <c r="G107" s="186"/>
      <c r="H107" s="186"/>
      <c r="I107" s="187"/>
      <c r="J107" s="187"/>
      <c r="K107" s="187"/>
      <c r="L107" s="187"/>
      <c r="M107" s="188"/>
      <c r="N107" s="188"/>
      <c r="O107" s="188"/>
      <c r="P107" s="188"/>
      <c r="Q107" s="188"/>
      <c r="R107" s="188"/>
      <c r="S107" s="188"/>
      <c r="T107" s="188"/>
      <c r="U107" s="189"/>
      <c r="V107" s="189"/>
      <c r="W107" s="189"/>
      <c r="X107" s="189"/>
      <c r="Y107" s="189" t="n">
        <f aca="false">SUM(D107:X107)</f>
        <v>0</v>
      </c>
      <c r="Z107" s="190" t="n">
        <v>150</v>
      </c>
      <c r="AA107" s="191" t="n">
        <v>1.24</v>
      </c>
      <c r="AB107" s="192" t="n">
        <f aca="false">AA107+0.04</f>
        <v>1.28</v>
      </c>
      <c r="AC107" s="193" t="n">
        <f aca="false">C107*B107</f>
        <v>0</v>
      </c>
      <c r="AD107" s="193" t="n">
        <f aca="false">D107*B107</f>
        <v>0</v>
      </c>
      <c r="AE107" s="193" t="n">
        <f aca="false">E107*B107</f>
        <v>0</v>
      </c>
      <c r="AF107" s="193" t="n">
        <f aca="false">F107*B107</f>
        <v>0</v>
      </c>
      <c r="AG107" s="193" t="n">
        <f aca="false">G107*B107</f>
        <v>0</v>
      </c>
      <c r="AH107" s="193" t="n">
        <f aca="false">H107*B107</f>
        <v>0</v>
      </c>
      <c r="AI107" s="193" t="n">
        <f aca="false">I107*B107</f>
        <v>0</v>
      </c>
      <c r="AJ107" s="193" t="n">
        <f aca="false">J107*B107</f>
        <v>0</v>
      </c>
      <c r="AK107" s="193" t="n">
        <f aca="false">K107*B107</f>
        <v>0</v>
      </c>
      <c r="AL107" s="193" t="n">
        <f aca="false">L107*C107</f>
        <v>0</v>
      </c>
      <c r="AM107" s="193" t="n">
        <f aca="false">M107*B107</f>
        <v>0</v>
      </c>
      <c r="AN107" s="193" t="n">
        <f aca="false">N107*B107</f>
        <v>0</v>
      </c>
      <c r="AO107" s="193" t="n">
        <f aca="false">O107*B107</f>
        <v>0</v>
      </c>
      <c r="AP107" s="193" t="n">
        <f aca="false">P107*B107</f>
        <v>0</v>
      </c>
      <c r="AQ107" s="193" t="n">
        <f aca="false">Q107*B107</f>
        <v>0</v>
      </c>
      <c r="AR107" s="193" t="n">
        <f aca="false">R107*B107</f>
        <v>0</v>
      </c>
      <c r="AS107" s="193" t="n">
        <f aca="false">S107*B107</f>
        <v>0</v>
      </c>
      <c r="AT107" s="193" t="n">
        <f aca="false">T107*B107</f>
        <v>0</v>
      </c>
      <c r="AU107" s="193" t="n">
        <f aca="false">U107*B107</f>
        <v>0</v>
      </c>
      <c r="AV107" s="193" t="n">
        <f aca="false">V107*B107</f>
        <v>0</v>
      </c>
      <c r="AW107" s="193" t="n">
        <f aca="false">W107*B107</f>
        <v>0</v>
      </c>
      <c r="AX107" s="193" t="n">
        <f aca="false">X107*B107</f>
        <v>0</v>
      </c>
      <c r="AY107" s="193" t="n">
        <f aca="false">SUM(AC107:AX107)</f>
        <v>0</v>
      </c>
      <c r="AZ107" s="192" t="n">
        <f aca="false">AB107*B107</f>
        <v>0</v>
      </c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  <c r="BO107" s="194"/>
    </row>
    <row r="108" customFormat="false" ht="12.75" hidden="true" customHeight="true" outlineLevel="0" collapsed="false">
      <c r="A108" s="189"/>
      <c r="B108" s="185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8"/>
      <c r="N108" s="188"/>
      <c r="O108" s="188"/>
      <c r="P108" s="188"/>
      <c r="Q108" s="188"/>
      <c r="R108" s="188"/>
      <c r="S108" s="188"/>
      <c r="T108" s="188"/>
      <c r="U108" s="189"/>
      <c r="V108" s="189"/>
      <c r="W108" s="189"/>
      <c r="X108" s="189"/>
      <c r="Y108" s="189" t="n">
        <f aca="false">SUM(D108:X108)</f>
        <v>0</v>
      </c>
      <c r="Z108" s="190"/>
      <c r="AA108" s="191"/>
      <c r="AB108" s="192" t="n">
        <f aca="false">AA108+0.04</f>
        <v>0.04</v>
      </c>
      <c r="AC108" s="193" t="n">
        <f aca="false">C108*B108</f>
        <v>0</v>
      </c>
      <c r="AD108" s="193" t="n">
        <f aca="false">D108*B108</f>
        <v>0</v>
      </c>
      <c r="AE108" s="193" t="n">
        <f aca="false">E108*B108</f>
        <v>0</v>
      </c>
      <c r="AF108" s="193" t="n">
        <f aca="false">F108*B108</f>
        <v>0</v>
      </c>
      <c r="AG108" s="193" t="n">
        <f aca="false">G108*B108</f>
        <v>0</v>
      </c>
      <c r="AH108" s="193" t="n">
        <f aca="false">H108*B108</f>
        <v>0</v>
      </c>
      <c r="AI108" s="193" t="n">
        <f aca="false">I108*B108</f>
        <v>0</v>
      </c>
      <c r="AJ108" s="193" t="n">
        <f aca="false">J108*B108</f>
        <v>0</v>
      </c>
      <c r="AK108" s="193" t="n">
        <f aca="false">K108*B108</f>
        <v>0</v>
      </c>
      <c r="AL108" s="193" t="n">
        <f aca="false">L108*C108</f>
        <v>0</v>
      </c>
      <c r="AM108" s="193" t="n">
        <f aca="false">M108*B108</f>
        <v>0</v>
      </c>
      <c r="AN108" s="193" t="n">
        <f aca="false">N108*B108</f>
        <v>0</v>
      </c>
      <c r="AO108" s="193" t="n">
        <f aca="false">O108*B108</f>
        <v>0</v>
      </c>
      <c r="AP108" s="193" t="n">
        <f aca="false">P108*B108</f>
        <v>0</v>
      </c>
      <c r="AQ108" s="193" t="n">
        <f aca="false">Q108*B108</f>
        <v>0</v>
      </c>
      <c r="AR108" s="193" t="n">
        <f aca="false">R108*B108</f>
        <v>0</v>
      </c>
      <c r="AS108" s="193" t="n">
        <f aca="false">S108*B108</f>
        <v>0</v>
      </c>
      <c r="AT108" s="193" t="n">
        <f aca="false">T108*B108</f>
        <v>0</v>
      </c>
      <c r="AU108" s="193" t="n">
        <f aca="false">U108*B108</f>
        <v>0</v>
      </c>
      <c r="AV108" s="193" t="n">
        <f aca="false">V108*B108</f>
        <v>0</v>
      </c>
      <c r="AW108" s="193" t="n">
        <f aca="false">W108*B108</f>
        <v>0</v>
      </c>
      <c r="AX108" s="193" t="n">
        <f aca="false">X108*B108</f>
        <v>0</v>
      </c>
      <c r="AY108" s="193" t="n">
        <f aca="false">SUM(AC108:AX108)</f>
        <v>0</v>
      </c>
      <c r="AZ108" s="192" t="n">
        <f aca="false">AB108*B108</f>
        <v>0</v>
      </c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  <c r="BO108" s="194"/>
    </row>
    <row r="109" customFormat="false" ht="12.75" hidden="true" customHeight="true" outlineLevel="0" collapsed="false">
      <c r="A109" s="189"/>
      <c r="B109" s="185"/>
      <c r="C109" s="186"/>
      <c r="D109" s="186"/>
      <c r="E109" s="186"/>
      <c r="F109" s="186"/>
      <c r="G109" s="186"/>
      <c r="H109" s="186"/>
      <c r="I109" s="187"/>
      <c r="J109" s="187"/>
      <c r="K109" s="187"/>
      <c r="L109" s="187"/>
      <c r="M109" s="188"/>
      <c r="N109" s="188"/>
      <c r="O109" s="188"/>
      <c r="P109" s="188"/>
      <c r="Q109" s="188"/>
      <c r="R109" s="188"/>
      <c r="S109" s="188"/>
      <c r="T109" s="188"/>
      <c r="U109" s="189"/>
      <c r="V109" s="189"/>
      <c r="W109" s="189"/>
      <c r="X109" s="189"/>
      <c r="Y109" s="189" t="n">
        <f aca="false">SUM(D109:X109)</f>
        <v>0</v>
      </c>
      <c r="Z109" s="190"/>
      <c r="AA109" s="191"/>
      <c r="AB109" s="192" t="n">
        <f aca="false">AA109+0.04</f>
        <v>0.04</v>
      </c>
      <c r="AC109" s="193" t="n">
        <f aca="false">C109*B109</f>
        <v>0</v>
      </c>
      <c r="AD109" s="193" t="n">
        <f aca="false">D109*B109</f>
        <v>0</v>
      </c>
      <c r="AE109" s="193" t="n">
        <f aca="false">E109*B109</f>
        <v>0</v>
      </c>
      <c r="AF109" s="193" t="n">
        <f aca="false">F109*B109</f>
        <v>0</v>
      </c>
      <c r="AG109" s="193" t="n">
        <f aca="false">G109*B109</f>
        <v>0</v>
      </c>
      <c r="AH109" s="193" t="n">
        <f aca="false">H109*B109</f>
        <v>0</v>
      </c>
      <c r="AI109" s="193" t="n">
        <f aca="false">I109*B109</f>
        <v>0</v>
      </c>
      <c r="AJ109" s="193" t="n">
        <f aca="false">J109*B109</f>
        <v>0</v>
      </c>
      <c r="AK109" s="193" t="n">
        <f aca="false">K109*B109</f>
        <v>0</v>
      </c>
      <c r="AL109" s="193" t="n">
        <f aca="false">L109*C109</f>
        <v>0</v>
      </c>
      <c r="AM109" s="193" t="n">
        <f aca="false">M109*B109</f>
        <v>0</v>
      </c>
      <c r="AN109" s="193" t="n">
        <f aca="false">N109*B109</f>
        <v>0</v>
      </c>
      <c r="AO109" s="193" t="n">
        <f aca="false">O109*B109</f>
        <v>0</v>
      </c>
      <c r="AP109" s="193" t="n">
        <f aca="false">P109*B109</f>
        <v>0</v>
      </c>
      <c r="AQ109" s="193" t="n">
        <f aca="false">Q109*B109</f>
        <v>0</v>
      </c>
      <c r="AR109" s="193" t="n">
        <f aca="false">R109*B109</f>
        <v>0</v>
      </c>
      <c r="AS109" s="193" t="n">
        <f aca="false">S109*B109</f>
        <v>0</v>
      </c>
      <c r="AT109" s="193" t="n">
        <f aca="false">T109*B109</f>
        <v>0</v>
      </c>
      <c r="AU109" s="193" t="n">
        <f aca="false">U109*B109</f>
        <v>0</v>
      </c>
      <c r="AV109" s="193" t="n">
        <f aca="false">V109*B109</f>
        <v>0</v>
      </c>
      <c r="AW109" s="193" t="n">
        <f aca="false">W109*B109</f>
        <v>0</v>
      </c>
      <c r="AX109" s="193" t="n">
        <f aca="false">X109*B109</f>
        <v>0</v>
      </c>
      <c r="AY109" s="193" t="n">
        <f aca="false">SUM(AC109:AX109)</f>
        <v>0</v>
      </c>
      <c r="AZ109" s="192" t="n">
        <f aca="false">AB109*B109</f>
        <v>0</v>
      </c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  <c r="BO109" s="194"/>
    </row>
    <row r="110" customFormat="false" ht="12.75" hidden="true" customHeight="true" outlineLevel="0" collapsed="false">
      <c r="A110" s="189"/>
      <c r="B110" s="185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8"/>
      <c r="N110" s="188"/>
      <c r="O110" s="188"/>
      <c r="P110" s="188"/>
      <c r="Q110" s="188"/>
      <c r="R110" s="188"/>
      <c r="S110" s="188"/>
      <c r="T110" s="188"/>
      <c r="U110" s="189"/>
      <c r="V110" s="189"/>
      <c r="W110" s="189"/>
      <c r="X110" s="189"/>
      <c r="Y110" s="189" t="n">
        <f aca="false">SUM(D110:X110)</f>
        <v>0</v>
      </c>
      <c r="Z110" s="190"/>
      <c r="AA110" s="191"/>
      <c r="AB110" s="192" t="n">
        <f aca="false">AA110+0.04</f>
        <v>0.04</v>
      </c>
      <c r="AC110" s="193" t="n">
        <f aca="false">C110*B110</f>
        <v>0</v>
      </c>
      <c r="AD110" s="193" t="n">
        <f aca="false">D110*B110</f>
        <v>0</v>
      </c>
      <c r="AE110" s="193" t="n">
        <f aca="false">E110*B110</f>
        <v>0</v>
      </c>
      <c r="AF110" s="193" t="n">
        <f aca="false">F110*B110</f>
        <v>0</v>
      </c>
      <c r="AG110" s="193" t="n">
        <f aca="false">G110*B110</f>
        <v>0</v>
      </c>
      <c r="AH110" s="193" t="n">
        <f aca="false">H110*B110</f>
        <v>0</v>
      </c>
      <c r="AI110" s="193" t="n">
        <f aca="false">I110*B110</f>
        <v>0</v>
      </c>
      <c r="AJ110" s="193" t="n">
        <f aca="false">J110*B110</f>
        <v>0</v>
      </c>
      <c r="AK110" s="193" t="n">
        <f aca="false">K110*B110</f>
        <v>0</v>
      </c>
      <c r="AL110" s="193" t="n">
        <f aca="false">L110*C110</f>
        <v>0</v>
      </c>
      <c r="AM110" s="193" t="n">
        <f aca="false">M110*B110</f>
        <v>0</v>
      </c>
      <c r="AN110" s="193" t="n">
        <f aca="false">N110*B110</f>
        <v>0</v>
      </c>
      <c r="AO110" s="193" t="n">
        <f aca="false">O110*B110</f>
        <v>0</v>
      </c>
      <c r="AP110" s="193" t="n">
        <f aca="false">P110*B110</f>
        <v>0</v>
      </c>
      <c r="AQ110" s="193" t="n">
        <f aca="false">Q110*B110</f>
        <v>0</v>
      </c>
      <c r="AR110" s="193" t="n">
        <f aca="false">R110*B110</f>
        <v>0</v>
      </c>
      <c r="AS110" s="193" t="n">
        <f aca="false">S110*B110</f>
        <v>0</v>
      </c>
      <c r="AT110" s="193" t="n">
        <f aca="false">T110*B110</f>
        <v>0</v>
      </c>
      <c r="AU110" s="193" t="n">
        <f aca="false">U110*B110</f>
        <v>0</v>
      </c>
      <c r="AV110" s="193" t="n">
        <f aca="false">V110*B110</f>
        <v>0</v>
      </c>
      <c r="AW110" s="193" t="n">
        <f aca="false">W110*B110</f>
        <v>0</v>
      </c>
      <c r="AX110" s="193" t="n">
        <f aca="false">X110*B110</f>
        <v>0</v>
      </c>
      <c r="AY110" s="193" t="n">
        <f aca="false">SUM(AC110:AX110)</f>
        <v>0</v>
      </c>
      <c r="AZ110" s="192" t="n">
        <f aca="false">AB110*B110</f>
        <v>0</v>
      </c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  <c r="BO110" s="194"/>
    </row>
    <row r="111" customFormat="false" ht="12.75" hidden="true" customHeight="true" outlineLevel="0" collapsed="false">
      <c r="A111" s="189"/>
      <c r="B111" s="185"/>
      <c r="C111" s="186"/>
      <c r="D111" s="186"/>
      <c r="E111" s="186"/>
      <c r="F111" s="186"/>
      <c r="G111" s="186"/>
      <c r="H111" s="186"/>
      <c r="I111" s="187"/>
      <c r="J111" s="187"/>
      <c r="K111" s="187"/>
      <c r="L111" s="187"/>
      <c r="M111" s="188"/>
      <c r="N111" s="188"/>
      <c r="O111" s="188"/>
      <c r="P111" s="188"/>
      <c r="Q111" s="188"/>
      <c r="R111" s="188"/>
      <c r="S111" s="188"/>
      <c r="T111" s="188"/>
      <c r="U111" s="189"/>
      <c r="V111" s="189"/>
      <c r="W111" s="189"/>
      <c r="X111" s="189"/>
      <c r="Y111" s="189" t="n">
        <f aca="false">SUM(D111:X111)</f>
        <v>0</v>
      </c>
      <c r="Z111" s="190"/>
      <c r="AA111" s="191"/>
      <c r="AB111" s="192" t="n">
        <f aca="false">AA111+0.04</f>
        <v>0.04</v>
      </c>
      <c r="AC111" s="193" t="n">
        <f aca="false">C111*B111</f>
        <v>0</v>
      </c>
      <c r="AD111" s="193" t="n">
        <f aca="false">D111*B111</f>
        <v>0</v>
      </c>
      <c r="AE111" s="193" t="n">
        <f aca="false">E111*B111</f>
        <v>0</v>
      </c>
      <c r="AF111" s="193" t="n">
        <f aca="false">F111*B111</f>
        <v>0</v>
      </c>
      <c r="AG111" s="193" t="n">
        <f aca="false">G111*B111</f>
        <v>0</v>
      </c>
      <c r="AH111" s="193" t="n">
        <f aca="false">H111*B111</f>
        <v>0</v>
      </c>
      <c r="AI111" s="193" t="n">
        <f aca="false">I111*B111</f>
        <v>0</v>
      </c>
      <c r="AJ111" s="193" t="n">
        <f aca="false">J111*B111</f>
        <v>0</v>
      </c>
      <c r="AK111" s="193" t="n">
        <f aca="false">K111*B111</f>
        <v>0</v>
      </c>
      <c r="AL111" s="193" t="n">
        <f aca="false">L111*C111</f>
        <v>0</v>
      </c>
      <c r="AM111" s="193" t="n">
        <f aca="false">M111*B111</f>
        <v>0</v>
      </c>
      <c r="AN111" s="193" t="n">
        <f aca="false">N111*B111</f>
        <v>0</v>
      </c>
      <c r="AO111" s="193" t="n">
        <f aca="false">O111*B111</f>
        <v>0</v>
      </c>
      <c r="AP111" s="193" t="n">
        <f aca="false">P111*B111</f>
        <v>0</v>
      </c>
      <c r="AQ111" s="193" t="n">
        <f aca="false">Q111*B111</f>
        <v>0</v>
      </c>
      <c r="AR111" s="193" t="n">
        <f aca="false">R111*B111</f>
        <v>0</v>
      </c>
      <c r="AS111" s="193" t="n">
        <f aca="false">S111*B111</f>
        <v>0</v>
      </c>
      <c r="AT111" s="193" t="n">
        <f aca="false">T111*B111</f>
        <v>0</v>
      </c>
      <c r="AU111" s="193" t="n">
        <f aca="false">U111*B111</f>
        <v>0</v>
      </c>
      <c r="AV111" s="193" t="n">
        <f aca="false">V111*B111</f>
        <v>0</v>
      </c>
      <c r="AW111" s="193" t="n">
        <f aca="false">W111*B111</f>
        <v>0</v>
      </c>
      <c r="AX111" s="193" t="n">
        <f aca="false">X111*B111</f>
        <v>0</v>
      </c>
      <c r="AY111" s="193" t="n">
        <f aca="false">SUM(AC111:AX111)</f>
        <v>0</v>
      </c>
      <c r="AZ111" s="192" t="n">
        <f aca="false">AB111*B111</f>
        <v>0</v>
      </c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  <c r="BO111" s="194"/>
    </row>
    <row r="112" customFormat="false" ht="12.75" hidden="true" customHeight="true" outlineLevel="0" collapsed="false">
      <c r="A112" s="189"/>
      <c r="B112" s="185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8"/>
      <c r="N112" s="188"/>
      <c r="O112" s="188"/>
      <c r="P112" s="188"/>
      <c r="Q112" s="188"/>
      <c r="R112" s="188"/>
      <c r="S112" s="188"/>
      <c r="T112" s="188"/>
      <c r="U112" s="189"/>
      <c r="V112" s="189"/>
      <c r="W112" s="189"/>
      <c r="X112" s="189"/>
      <c r="Y112" s="189" t="n">
        <f aca="false">SUM(D112:X112)</f>
        <v>0</v>
      </c>
      <c r="Z112" s="190"/>
      <c r="AA112" s="191"/>
      <c r="AB112" s="192" t="n">
        <f aca="false">AA112+0.04</f>
        <v>0.04</v>
      </c>
      <c r="AC112" s="193" t="n">
        <f aca="false">C112*B112</f>
        <v>0</v>
      </c>
      <c r="AD112" s="193" t="n">
        <f aca="false">D112*B112</f>
        <v>0</v>
      </c>
      <c r="AE112" s="193" t="n">
        <f aca="false">E112*B112</f>
        <v>0</v>
      </c>
      <c r="AF112" s="193" t="n">
        <f aca="false">F112*B112</f>
        <v>0</v>
      </c>
      <c r="AG112" s="193" t="n">
        <f aca="false">G112*B112</f>
        <v>0</v>
      </c>
      <c r="AH112" s="193" t="n">
        <f aca="false">H112*B112</f>
        <v>0</v>
      </c>
      <c r="AI112" s="193" t="n">
        <f aca="false">I112*B112</f>
        <v>0</v>
      </c>
      <c r="AJ112" s="193" t="n">
        <f aca="false">J112*B112</f>
        <v>0</v>
      </c>
      <c r="AK112" s="193" t="n">
        <f aca="false">K112*B112</f>
        <v>0</v>
      </c>
      <c r="AL112" s="193" t="n">
        <f aca="false">L112*C112</f>
        <v>0</v>
      </c>
      <c r="AM112" s="193" t="n">
        <f aca="false">M112*B112</f>
        <v>0</v>
      </c>
      <c r="AN112" s="193" t="n">
        <f aca="false">N112*B112</f>
        <v>0</v>
      </c>
      <c r="AO112" s="193" t="n">
        <f aca="false">O112*B112</f>
        <v>0</v>
      </c>
      <c r="AP112" s="193" t="n">
        <f aca="false">P112*B112</f>
        <v>0</v>
      </c>
      <c r="AQ112" s="193" t="n">
        <f aca="false">Q112*B112</f>
        <v>0</v>
      </c>
      <c r="AR112" s="193" t="n">
        <f aca="false">R112*B112</f>
        <v>0</v>
      </c>
      <c r="AS112" s="193" t="n">
        <f aca="false">S112*B112</f>
        <v>0</v>
      </c>
      <c r="AT112" s="193" t="n">
        <f aca="false">T112*B112</f>
        <v>0</v>
      </c>
      <c r="AU112" s="193" t="n">
        <f aca="false">U112*B112</f>
        <v>0</v>
      </c>
      <c r="AV112" s="193" t="n">
        <f aca="false">V112*B112</f>
        <v>0</v>
      </c>
      <c r="AW112" s="193" t="n">
        <f aca="false">W112*B112</f>
        <v>0</v>
      </c>
      <c r="AX112" s="193" t="n">
        <f aca="false">X112*B112</f>
        <v>0</v>
      </c>
      <c r="AY112" s="193" t="n">
        <f aca="false">SUM(AC112:AX112)</f>
        <v>0</v>
      </c>
      <c r="AZ112" s="192" t="n">
        <f aca="false">AB112*B112</f>
        <v>0</v>
      </c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  <c r="BO112" s="194"/>
    </row>
    <row r="113" customFormat="false" ht="12.75" hidden="true" customHeight="true" outlineLevel="0" collapsed="false">
      <c r="A113" s="200"/>
      <c r="B113" s="117"/>
      <c r="C113" s="201" t="n">
        <f aca="false">AC113</f>
        <v>0</v>
      </c>
      <c r="D113" s="201" t="n">
        <f aca="false">AD113</f>
        <v>0</v>
      </c>
      <c r="E113" s="201" t="n">
        <f aca="false">AE113</f>
        <v>0</v>
      </c>
      <c r="F113" s="201" t="n">
        <f aca="false">AF113</f>
        <v>0</v>
      </c>
      <c r="G113" s="201" t="n">
        <f aca="false">AG113</f>
        <v>0</v>
      </c>
      <c r="H113" s="201" t="n">
        <f aca="false">AH113</f>
        <v>0</v>
      </c>
      <c r="I113" s="201" t="n">
        <f aca="false">AI113</f>
        <v>0</v>
      </c>
      <c r="J113" s="201" t="n">
        <f aca="false">AJ113</f>
        <v>0</v>
      </c>
      <c r="K113" s="201" t="n">
        <f aca="false">AK113</f>
        <v>0</v>
      </c>
      <c r="L113" s="201" t="n">
        <f aca="false">AL113</f>
        <v>0</v>
      </c>
      <c r="M113" s="201" t="n">
        <f aca="false">AM113</f>
        <v>0</v>
      </c>
      <c r="N113" s="201" t="n">
        <f aca="false">AN113</f>
        <v>0</v>
      </c>
      <c r="O113" s="201" t="n">
        <f aca="false">AO113</f>
        <v>0</v>
      </c>
      <c r="P113" s="201" t="n">
        <f aca="false">AP113</f>
        <v>0</v>
      </c>
      <c r="Q113" s="201" t="n">
        <f aca="false">AQ113</f>
        <v>0</v>
      </c>
      <c r="R113" s="201" t="n">
        <f aca="false">AR113</f>
        <v>0</v>
      </c>
      <c r="S113" s="201" t="n">
        <f aca="false">AS113</f>
        <v>0</v>
      </c>
      <c r="T113" s="201" t="n">
        <f aca="false">AT113</f>
        <v>0</v>
      </c>
      <c r="U113" s="201" t="n">
        <f aca="false">U107*R107</f>
        <v>0</v>
      </c>
      <c r="V113" s="201" t="n">
        <f aca="false">V107*S107</f>
        <v>0</v>
      </c>
      <c r="W113" s="201" t="n">
        <f aca="false">W107*T107</f>
        <v>0</v>
      </c>
      <c r="X113" s="201" t="n">
        <f aca="false">X107*U107</f>
        <v>0</v>
      </c>
      <c r="Y113" s="117"/>
      <c r="Z113" s="202"/>
      <c r="AA113" s="203"/>
      <c r="AB113" s="202"/>
      <c r="AC113" s="201" t="n">
        <f aca="false">SUM(AC106:AC112)</f>
        <v>0</v>
      </c>
      <c r="AD113" s="201" t="n">
        <f aca="false">SUM(AD107:AD112)</f>
        <v>0</v>
      </c>
      <c r="AE113" s="201" t="n">
        <f aca="false">SUM(AE107:AE112)</f>
        <v>0</v>
      </c>
      <c r="AF113" s="201" t="n">
        <f aca="false">SUM(AF107:AF112)</f>
        <v>0</v>
      </c>
      <c r="AG113" s="201" t="n">
        <f aca="false">SUM(AG107:AG112)</f>
        <v>0</v>
      </c>
      <c r="AH113" s="201" t="n">
        <f aca="false">SUM(AH107:AH112)</f>
        <v>0</v>
      </c>
      <c r="AI113" s="201" t="n">
        <f aca="false">SUM(AI107:AI112)</f>
        <v>0</v>
      </c>
      <c r="AJ113" s="201" t="n">
        <f aca="false">SUM(AJ107:AJ112)</f>
        <v>0</v>
      </c>
      <c r="AK113" s="201" t="n">
        <f aca="false">SUM(AK107:AK112)</f>
        <v>0</v>
      </c>
      <c r="AL113" s="201" t="n">
        <f aca="false">SUM(AL107:AL112)</f>
        <v>0</v>
      </c>
      <c r="AM113" s="201" t="n">
        <f aca="false">SUM(AM107:AM112)</f>
        <v>0</v>
      </c>
      <c r="AN113" s="201" t="n">
        <f aca="false">SUM(AN107:AN112)</f>
        <v>0</v>
      </c>
      <c r="AO113" s="201" t="n">
        <f aca="false">SUM(AO107:AO112)</f>
        <v>0</v>
      </c>
      <c r="AP113" s="201" t="n">
        <f aca="false">SUM(AP107:AP112)</f>
        <v>0</v>
      </c>
      <c r="AQ113" s="201" t="n">
        <f aca="false">SUM(AQ107:AQ112)</f>
        <v>0</v>
      </c>
      <c r="AR113" s="201" t="n">
        <f aca="false">SUM(AR106:AR112)</f>
        <v>0</v>
      </c>
      <c r="AS113" s="201" t="n">
        <f aca="false">SUM(AS106:AS112)</f>
        <v>0</v>
      </c>
      <c r="AT113" s="201" t="n">
        <f aca="false">SUM(AT106:AT112)</f>
        <v>0</v>
      </c>
      <c r="AU113" s="201" t="n">
        <f aca="false">SUM(AU106:AU112)</f>
        <v>0</v>
      </c>
      <c r="AV113" s="201" t="n">
        <f aca="false">SUM(AV106:AV112)</f>
        <v>0</v>
      </c>
      <c r="AW113" s="201" t="n">
        <f aca="false">SUM(AW106:AW112)</f>
        <v>0</v>
      </c>
      <c r="AX113" s="201" t="n">
        <f aca="false">SUM(AX106:AX112)</f>
        <v>0</v>
      </c>
      <c r="AY113" s="201" t="n">
        <f aca="false">SUM(AY106:AY112)</f>
        <v>0</v>
      </c>
      <c r="AZ113" s="199" t="n">
        <f aca="false">SUM(AZ107:AZ112)</f>
        <v>0</v>
      </c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  <c r="BO113" s="194"/>
    </row>
    <row r="114" customFormat="false" ht="12.75" hidden="true" customHeight="true" outlineLevel="0" collapsed="false">
      <c r="A114" s="200"/>
      <c r="B114" s="117"/>
      <c r="C114" s="201" t="n">
        <f aca="false">AC114</f>
        <v>0</v>
      </c>
      <c r="D114" s="201" t="n">
        <f aca="false">AD114</f>
        <v>0</v>
      </c>
      <c r="E114" s="201" t="n">
        <f aca="false">AE114</f>
        <v>0</v>
      </c>
      <c r="F114" s="201" t="n">
        <f aca="false">AF114</f>
        <v>0</v>
      </c>
      <c r="G114" s="201" t="n">
        <f aca="false">AG114</f>
        <v>0</v>
      </c>
      <c r="H114" s="201" t="n">
        <f aca="false">AH114</f>
        <v>0</v>
      </c>
      <c r="I114" s="201" t="n">
        <f aca="false">AI114</f>
        <v>0</v>
      </c>
      <c r="J114" s="201" t="n">
        <f aca="false">AJ114</f>
        <v>0</v>
      </c>
      <c r="K114" s="201" t="n">
        <f aca="false">AK114</f>
        <v>0</v>
      </c>
      <c r="L114" s="201" t="n">
        <f aca="false">AL114</f>
        <v>0</v>
      </c>
      <c r="M114" s="201" t="n">
        <f aca="false">AM114</f>
        <v>0</v>
      </c>
      <c r="N114" s="201" t="n">
        <f aca="false">AN114</f>
        <v>0</v>
      </c>
      <c r="O114" s="201" t="n">
        <f aca="false">AO114</f>
        <v>0</v>
      </c>
      <c r="P114" s="201" t="n">
        <f aca="false">AP114</f>
        <v>0</v>
      </c>
      <c r="Q114" s="201" t="n">
        <f aca="false">AQ114</f>
        <v>0</v>
      </c>
      <c r="R114" s="201" t="n">
        <f aca="false">AR114</f>
        <v>0</v>
      </c>
      <c r="S114" s="201" t="n">
        <f aca="false">AS114</f>
        <v>0</v>
      </c>
      <c r="T114" s="201" t="n">
        <f aca="false">AT114</f>
        <v>0</v>
      </c>
      <c r="U114" s="202" t="n">
        <f aca="false">U113-U106</f>
        <v>0</v>
      </c>
      <c r="V114" s="202" t="n">
        <f aca="false">V113-V106</f>
        <v>0</v>
      </c>
      <c r="W114" s="202" t="n">
        <f aca="false">W113-W106</f>
        <v>0</v>
      </c>
      <c r="X114" s="202" t="n">
        <f aca="false">X113-X106</f>
        <v>0</v>
      </c>
      <c r="Y114" s="117"/>
      <c r="Z114" s="202"/>
      <c r="AA114" s="202"/>
      <c r="AB114" s="202"/>
      <c r="AC114" s="201" t="n">
        <f aca="false">AC113-AC106</f>
        <v>0</v>
      </c>
      <c r="AD114" s="201" t="n">
        <f aca="false">AD113-AD106</f>
        <v>0</v>
      </c>
      <c r="AE114" s="201" t="n">
        <f aca="false">AE113-AE106</f>
        <v>0</v>
      </c>
      <c r="AF114" s="201" t="n">
        <f aca="false">AF113-AF106</f>
        <v>0</v>
      </c>
      <c r="AG114" s="201" t="n">
        <f aca="false">AG113-AG106</f>
        <v>0</v>
      </c>
      <c r="AH114" s="201" t="n">
        <f aca="false">AH113-AH106</f>
        <v>0</v>
      </c>
      <c r="AI114" s="201" t="n">
        <f aca="false">AI113-AI106</f>
        <v>0</v>
      </c>
      <c r="AJ114" s="201" t="n">
        <f aca="false">AJ113-AJ106</f>
        <v>0</v>
      </c>
      <c r="AK114" s="201" t="n">
        <f aca="false">AK113-AK106</f>
        <v>0</v>
      </c>
      <c r="AL114" s="201" t="n">
        <f aca="false">AL113-AL106</f>
        <v>0</v>
      </c>
      <c r="AM114" s="201" t="n">
        <f aca="false">AM113-AM106</f>
        <v>0</v>
      </c>
      <c r="AN114" s="201" t="n">
        <f aca="false">AN113-AN106</f>
        <v>0</v>
      </c>
      <c r="AO114" s="201" t="n">
        <f aca="false">AO113-AO106</f>
        <v>0</v>
      </c>
      <c r="AP114" s="201" t="n">
        <f aca="false">AP113-AP106</f>
        <v>0</v>
      </c>
      <c r="AQ114" s="201" t="n">
        <f aca="false">AQ113-AQ106</f>
        <v>0</v>
      </c>
      <c r="AR114" s="201" t="n">
        <f aca="false">AR113-AR106</f>
        <v>0</v>
      </c>
      <c r="AS114" s="201" t="n">
        <f aca="false">AS113-AS106</f>
        <v>0</v>
      </c>
      <c r="AT114" s="201" t="n">
        <f aca="false">AT113-AT106</f>
        <v>0</v>
      </c>
      <c r="AU114" s="201" t="n">
        <f aca="false">AU113-AU105</f>
        <v>0</v>
      </c>
      <c r="AV114" s="201" t="n">
        <f aca="false">AV113-AV105</f>
        <v>0</v>
      </c>
      <c r="AW114" s="201" t="n">
        <f aca="false">AW113-AW105</f>
        <v>0</v>
      </c>
      <c r="AX114" s="201" t="n">
        <f aca="false">AX113-AX105</f>
        <v>0</v>
      </c>
      <c r="AY114" s="201"/>
      <c r="AZ114" s="199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  <c r="BO114" s="194"/>
    </row>
    <row r="115" customFormat="false" ht="12.75" hidden="true" customHeight="true" outlineLevel="0" collapsed="false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 t="str">
        <f aca="false">AZ102</f>
        <v>met 3%</v>
      </c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4"/>
      <c r="Z115" s="206"/>
      <c r="AA115" s="206"/>
      <c r="AB115" s="206"/>
      <c r="AC115" s="206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7"/>
      <c r="BA115" s="208"/>
      <c r="BB115" s="208"/>
      <c r="BC115" s="208"/>
      <c r="BD115" s="208"/>
      <c r="BE115" s="208"/>
      <c r="BF115" s="208"/>
      <c r="BG115" s="208"/>
      <c r="BH115" s="208"/>
      <c r="BI115" s="208"/>
      <c r="BJ115" s="208"/>
      <c r="BK115" s="208"/>
      <c r="BL115" s="208"/>
      <c r="BM115" s="208"/>
      <c r="BN115" s="208"/>
      <c r="BO115" s="208"/>
    </row>
    <row r="116" customFormat="false" ht="12.75" hidden="true" customHeight="true" outlineLevel="0" collapsed="false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 t="str">
        <f aca="false">AZ102</f>
        <v>met 3%</v>
      </c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4"/>
      <c r="Z116" s="211"/>
      <c r="AA116" s="205"/>
      <c r="AB116" s="206"/>
      <c r="AC116" s="206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12"/>
      <c r="AZ116" s="207"/>
      <c r="BA116" s="208"/>
      <c r="BB116" s="208"/>
      <c r="BC116" s="208"/>
      <c r="BD116" s="208"/>
      <c r="BE116" s="208"/>
      <c r="BF116" s="208"/>
      <c r="BG116" s="208"/>
      <c r="BH116" s="208"/>
      <c r="BI116" s="208"/>
      <c r="BJ116" s="208"/>
      <c r="BK116" s="208"/>
      <c r="BL116" s="208"/>
      <c r="BM116" s="208"/>
      <c r="BN116" s="208"/>
      <c r="BO116" s="208"/>
    </row>
    <row r="117" customFormat="false" ht="15" hidden="true" customHeight="false" outlineLevel="0" collapsed="false">
      <c r="A117" s="215"/>
      <c r="B117" s="216"/>
      <c r="C117" s="216"/>
      <c r="D117" s="216"/>
      <c r="E117" s="216"/>
      <c r="F117" s="216"/>
      <c r="G117" s="216"/>
      <c r="H117" s="217"/>
      <c r="I117" s="204"/>
      <c r="J117" s="204"/>
      <c r="K117" s="218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20"/>
      <c r="Z117" s="221" t="s">
        <v>79</v>
      </c>
      <c r="AA117" s="221"/>
      <c r="AB117" s="221"/>
      <c r="AC117" s="222"/>
      <c r="AD117" s="223"/>
      <c r="AE117" s="223"/>
      <c r="AF117" s="223"/>
      <c r="AG117" s="223"/>
      <c r="AH117" s="223"/>
      <c r="AI117" s="223"/>
      <c r="AJ117" s="223"/>
      <c r="AK117" s="223"/>
      <c r="AL117" s="223"/>
      <c r="AM117" s="223"/>
      <c r="AN117" s="223"/>
      <c r="AO117" s="223"/>
      <c r="AP117" s="223"/>
      <c r="AQ117" s="223"/>
      <c r="AR117" s="223"/>
      <c r="AS117" s="223"/>
      <c r="AT117" s="223"/>
      <c r="AU117" s="223"/>
      <c r="AV117" s="223"/>
      <c r="AW117" s="223"/>
      <c r="AX117" s="223"/>
      <c r="AY117" s="224" t="e">
        <f aca="false">AY102+Y115+Y116</f>
        <v>#DIV/0!</v>
      </c>
      <c r="AZ117" s="225" t="n">
        <f aca="false">AZ101</f>
        <v>0</v>
      </c>
      <c r="BA117" s="208"/>
      <c r="BB117" s="208"/>
      <c r="BC117" s="208"/>
      <c r="BD117" s="208"/>
      <c r="BE117" s="208"/>
      <c r="BF117" s="208"/>
      <c r="BG117" s="208"/>
      <c r="BH117" s="208"/>
      <c r="BI117" s="208"/>
      <c r="BJ117" s="208"/>
      <c r="BK117" s="208"/>
      <c r="BL117" s="208"/>
      <c r="BM117" s="208"/>
      <c r="BN117" s="208"/>
      <c r="BO117" s="208"/>
    </row>
  </sheetData>
  <mergeCells count="195">
    <mergeCell ref="A1:D1"/>
    <mergeCell ref="AZ1:BA1"/>
    <mergeCell ref="BC1:BD1"/>
    <mergeCell ref="A2:B2"/>
    <mergeCell ref="C2:L2"/>
    <mergeCell ref="M2:T2"/>
    <mergeCell ref="AZ2:BA2"/>
    <mergeCell ref="BC2:BD2"/>
    <mergeCell ref="A3:B3"/>
    <mergeCell ref="AZ3:BA3"/>
    <mergeCell ref="BC3:BD3"/>
    <mergeCell ref="A4:B4"/>
    <mergeCell ref="Z4:AB4"/>
    <mergeCell ref="AZ4:BA4"/>
    <mergeCell ref="BC4:BD4"/>
    <mergeCell ref="A5:B5"/>
    <mergeCell ref="Z5:AB5"/>
    <mergeCell ref="AY5:AY6"/>
    <mergeCell ref="AZ5:BA5"/>
    <mergeCell ref="BC5:BD5"/>
    <mergeCell ref="A6:B6"/>
    <mergeCell ref="Z6:AB6"/>
    <mergeCell ref="AZ6:BA6"/>
    <mergeCell ref="BC6:BD6"/>
    <mergeCell ref="A7:B7"/>
    <mergeCell ref="Z7:AB7"/>
    <mergeCell ref="AY7:AZ7"/>
    <mergeCell ref="A8:B8"/>
    <mergeCell ref="A13:B13"/>
    <mergeCell ref="A15:A16"/>
    <mergeCell ref="B15:E15"/>
    <mergeCell ref="F15:G16"/>
    <mergeCell ref="H15:Z16"/>
    <mergeCell ref="AA15:AA16"/>
    <mergeCell ref="AD15:AF15"/>
    <mergeCell ref="AH15:AJ15"/>
    <mergeCell ref="BN15:BP15"/>
    <mergeCell ref="BR15:BT15"/>
    <mergeCell ref="BU15:BV16"/>
    <mergeCell ref="BW15:CM16"/>
    <mergeCell ref="CN15:CN16"/>
    <mergeCell ref="CP15:CR15"/>
    <mergeCell ref="CT15:CV15"/>
    <mergeCell ref="B16:E16"/>
    <mergeCell ref="AD16:AF16"/>
    <mergeCell ref="AH16:AJ16"/>
    <mergeCell ref="BR16:BT16"/>
    <mergeCell ref="CP16:CR16"/>
    <mergeCell ref="CT16:CV16"/>
    <mergeCell ref="A17:A19"/>
    <mergeCell ref="C17:L17"/>
    <mergeCell ref="M17:T17"/>
    <mergeCell ref="BQ17:BQ19"/>
    <mergeCell ref="CA17:CE17"/>
    <mergeCell ref="Y18:Y19"/>
    <mergeCell ref="Z18:Z19"/>
    <mergeCell ref="AA18:AA19"/>
    <mergeCell ref="AB18:AB19"/>
    <mergeCell ref="AY18:AY19"/>
    <mergeCell ref="AZ18:AZ19"/>
    <mergeCell ref="CL18:CL19"/>
    <mergeCell ref="CM18:CM19"/>
    <mergeCell ref="CN18:CN19"/>
    <mergeCell ref="CO18:CO19"/>
    <mergeCell ref="DJ18:DJ19"/>
    <mergeCell ref="DK18:DK19"/>
    <mergeCell ref="A29:H29"/>
    <mergeCell ref="BQ29:BW29"/>
    <mergeCell ref="A30:H30"/>
    <mergeCell ref="BQ30:BW30"/>
    <mergeCell ref="Z31:AB31"/>
    <mergeCell ref="CM31:CO31"/>
    <mergeCell ref="A33:A34"/>
    <mergeCell ref="B33:E33"/>
    <mergeCell ref="F33:G34"/>
    <mergeCell ref="H33:Z34"/>
    <mergeCell ref="AA33:AA34"/>
    <mergeCell ref="AD33:AF33"/>
    <mergeCell ref="AH33:AJ33"/>
    <mergeCell ref="B34:E34"/>
    <mergeCell ref="AD34:AF34"/>
    <mergeCell ref="AH34:AJ34"/>
    <mergeCell ref="BN34:BQ35"/>
    <mergeCell ref="BT34:BY35"/>
    <mergeCell ref="A35:A37"/>
    <mergeCell ref="C35:L35"/>
    <mergeCell ref="M35:T35"/>
    <mergeCell ref="Y36:Y37"/>
    <mergeCell ref="Z36:Z37"/>
    <mergeCell ref="AA36:AA37"/>
    <mergeCell ref="AB36:AB37"/>
    <mergeCell ref="AY36:AY37"/>
    <mergeCell ref="AZ36:AZ37"/>
    <mergeCell ref="CB38:CE42"/>
    <mergeCell ref="A47:H47"/>
    <mergeCell ref="A48:H48"/>
    <mergeCell ref="Z49:AB49"/>
    <mergeCell ref="BF49:BJ49"/>
    <mergeCell ref="A51:A52"/>
    <mergeCell ref="B51:E51"/>
    <mergeCell ref="F51:G52"/>
    <mergeCell ref="H51:Z52"/>
    <mergeCell ref="AA51:AA52"/>
    <mergeCell ref="AD51:AF51"/>
    <mergeCell ref="AH51:AJ51"/>
    <mergeCell ref="B52:E52"/>
    <mergeCell ref="AD52:AF52"/>
    <mergeCell ref="AH52:AJ52"/>
    <mergeCell ref="BA52:BC52"/>
    <mergeCell ref="BF52:BG53"/>
    <mergeCell ref="A53:A55"/>
    <mergeCell ref="C53:L53"/>
    <mergeCell ref="M53:T53"/>
    <mergeCell ref="Y54:Y55"/>
    <mergeCell ref="Z54:Z55"/>
    <mergeCell ref="AA54:AA55"/>
    <mergeCell ref="AB54:AB55"/>
    <mergeCell ref="AY54:AY55"/>
    <mergeCell ref="AZ54:AZ55"/>
    <mergeCell ref="A64:H64"/>
    <mergeCell ref="A65:H65"/>
    <mergeCell ref="Z66:AB66"/>
    <mergeCell ref="A68:A69"/>
    <mergeCell ref="B68:E68"/>
    <mergeCell ref="F68:G69"/>
    <mergeCell ref="H68:Z69"/>
    <mergeCell ref="AA68:AA69"/>
    <mergeCell ref="AD68:AF68"/>
    <mergeCell ref="AH68:AJ68"/>
    <mergeCell ref="B69:E69"/>
    <mergeCell ref="AD69:AF69"/>
    <mergeCell ref="AH69:AJ69"/>
    <mergeCell ref="BA69:BC69"/>
    <mergeCell ref="BE69:BG69"/>
    <mergeCell ref="BJ69:BM69"/>
    <mergeCell ref="A70:A72"/>
    <mergeCell ref="C70:L70"/>
    <mergeCell ref="M70:T70"/>
    <mergeCell ref="Y71:Y72"/>
    <mergeCell ref="Z71:Z72"/>
    <mergeCell ref="AA71:AA72"/>
    <mergeCell ref="AB71:AB72"/>
    <mergeCell ref="AY71:AY72"/>
    <mergeCell ref="AZ71:AZ72"/>
    <mergeCell ref="A81:H81"/>
    <mergeCell ref="A82:H82"/>
    <mergeCell ref="Z83:AB83"/>
    <mergeCell ref="A85:A86"/>
    <mergeCell ref="B85:E85"/>
    <mergeCell ref="F85:G86"/>
    <mergeCell ref="H85:Z86"/>
    <mergeCell ref="AA85:AA86"/>
    <mergeCell ref="AD85:AF85"/>
    <mergeCell ref="AH85:AJ85"/>
    <mergeCell ref="B86:E86"/>
    <mergeCell ref="AD86:AF86"/>
    <mergeCell ref="AH86:AJ86"/>
    <mergeCell ref="BA86:BC86"/>
    <mergeCell ref="BE86:BG86"/>
    <mergeCell ref="A87:A89"/>
    <mergeCell ref="C87:L87"/>
    <mergeCell ref="M87:T87"/>
    <mergeCell ref="Y88:Y89"/>
    <mergeCell ref="Z88:Z89"/>
    <mergeCell ref="AA88:AA89"/>
    <mergeCell ref="AB88:AB89"/>
    <mergeCell ref="AY88:AY89"/>
    <mergeCell ref="AZ88:AZ89"/>
    <mergeCell ref="A98:H98"/>
    <mergeCell ref="A99:H99"/>
    <mergeCell ref="Z100:AB100"/>
    <mergeCell ref="A102:A103"/>
    <mergeCell ref="B102:E102"/>
    <mergeCell ref="F102:G103"/>
    <mergeCell ref="H102:Z103"/>
    <mergeCell ref="AA102:AA103"/>
    <mergeCell ref="AD102:AF102"/>
    <mergeCell ref="AH102:AJ102"/>
    <mergeCell ref="B103:E103"/>
    <mergeCell ref="AD103:AF103"/>
    <mergeCell ref="AH103:AJ103"/>
    <mergeCell ref="BA103:BC103"/>
    <mergeCell ref="BD103:BF103"/>
    <mergeCell ref="A104:A106"/>
    <mergeCell ref="C104:L104"/>
    <mergeCell ref="M104:T104"/>
    <mergeCell ref="Y105:Y106"/>
    <mergeCell ref="Z105:Z106"/>
    <mergeCell ref="AA105:AA106"/>
    <mergeCell ref="AB105:AB106"/>
    <mergeCell ref="AY105:AY106"/>
    <mergeCell ref="AZ105:AZ106"/>
    <mergeCell ref="A115:H115"/>
    <mergeCell ref="A116:H116"/>
    <mergeCell ref="Z117:AB1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2016-04-02T22:23:07Z</dcterms:created>
  <dc:creator>XuanBinh</dc:creator>
  <dc:description/>
  <dc:language>en-US</dc:language>
  <cp:lastModifiedBy/>
  <cp:lastPrinted>2024-08-29T08:08:48Z</cp:lastPrinted>
  <dcterms:modified xsi:type="dcterms:W3CDTF">2024-08-29T23:01:47Z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